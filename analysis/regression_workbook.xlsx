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Downloads\"/>
    </mc:Choice>
  </mc:AlternateContent>
  <xr:revisionPtr revIDLastSave="0" documentId="13_ncr:1_{2589B42A-E8F5-4601-A69A-B3790A8B101D}" xr6:coauthVersionLast="47" xr6:coauthVersionMax="47" xr10:uidLastSave="{00000000-0000-0000-0000-000000000000}"/>
  <bookViews>
    <workbookView xWindow="-120" yWindow="-120" windowWidth="20730" windowHeight="11040" tabRatio="907" firstSheet="1" activeTab="2" xr2:uid="{CA770047-AACE-491A-B704-D9425FC78DE8}"/>
  </bookViews>
  <sheets>
    <sheet name="Original_Data" sheetId="1" r:id="rId1"/>
    <sheet name="Cleaned_Data" sheetId="2" r:id="rId2"/>
    <sheet name="Dummy_Variables" sheetId="3" r:id="rId3"/>
    <sheet name="Simple_Regression_1" sheetId="9" r:id="rId4"/>
    <sheet name="Simple_Regression_2" sheetId="10" r:id="rId5"/>
    <sheet name="Multiple_Regression" sheetId="1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10" i="2" l="1"/>
  <c r="P310" i="2" s="1"/>
  <c r="O305" i="2"/>
  <c r="P305" i="2" s="1"/>
  <c r="O318" i="2"/>
  <c r="P318" i="2" s="1"/>
  <c r="O246" i="2"/>
  <c r="P246" i="2" s="1"/>
  <c r="O256" i="2"/>
  <c r="P256" i="2" s="1"/>
  <c r="O153" i="2"/>
  <c r="P153" i="2" s="1"/>
  <c r="O13" i="2"/>
  <c r="P13" i="2" s="1"/>
  <c r="O16" i="2"/>
  <c r="P16" i="2" s="1"/>
  <c r="O197" i="2"/>
  <c r="P197" i="2" s="1"/>
  <c r="O220" i="2"/>
  <c r="P220" i="2" s="1"/>
  <c r="O39" i="2"/>
  <c r="P39" i="2" s="1"/>
  <c r="O111" i="2"/>
  <c r="P111" i="2" s="1"/>
  <c r="O297" i="2"/>
  <c r="P297" i="2" s="1"/>
  <c r="O211" i="2"/>
  <c r="P211" i="2" s="1"/>
  <c r="O206" i="2"/>
  <c r="P206" i="2" s="1"/>
  <c r="O229" i="2"/>
  <c r="P229" i="2" s="1"/>
  <c r="O252" i="2"/>
  <c r="P252" i="2" s="1"/>
  <c r="O178" i="2"/>
  <c r="P178" i="2" s="1"/>
  <c r="O205" i="2"/>
  <c r="P205" i="2" s="1"/>
  <c r="O316" i="2"/>
  <c r="P316" i="2" s="1"/>
  <c r="O202" i="2"/>
  <c r="P202" i="2" s="1"/>
  <c r="O165" i="2"/>
  <c r="P165" i="2" s="1"/>
  <c r="O127" i="2"/>
  <c r="P127" i="2" s="1"/>
  <c r="O138" i="2"/>
  <c r="P138" i="2" s="1"/>
  <c r="O306" i="2"/>
  <c r="P306" i="2" s="1"/>
  <c r="O122" i="2"/>
  <c r="P122" i="2" s="1"/>
  <c r="O146" i="2"/>
  <c r="P146" i="2" s="1"/>
  <c r="O311" i="2"/>
  <c r="P311" i="2" s="1"/>
  <c r="O195" i="2"/>
  <c r="P195" i="2" s="1"/>
  <c r="O247" i="2"/>
  <c r="P247" i="2" s="1"/>
  <c r="O301" i="2"/>
  <c r="P301" i="2" s="1"/>
  <c r="O321" i="2"/>
  <c r="P321" i="2" s="1"/>
  <c r="O299" i="2"/>
  <c r="P299" i="2" s="1"/>
  <c r="O157" i="2"/>
  <c r="P157" i="2" s="1"/>
  <c r="O179" i="2"/>
  <c r="P179" i="2" s="1"/>
  <c r="O65" i="2"/>
  <c r="P65" i="2" s="1"/>
  <c r="O225" i="2"/>
  <c r="P225" i="2" s="1"/>
  <c r="O221" i="2"/>
  <c r="P221" i="2" s="1"/>
  <c r="O78" i="2"/>
  <c r="P78" i="2" s="1"/>
  <c r="O94" i="2"/>
  <c r="P94" i="2" s="1"/>
  <c r="O234" i="2"/>
  <c r="P234" i="2" s="1"/>
  <c r="O28" i="2"/>
  <c r="P28" i="2" s="1"/>
  <c r="O120" i="2"/>
  <c r="P120" i="2" s="1"/>
  <c r="O320" i="2"/>
  <c r="P320" i="2" s="1"/>
  <c r="O216" i="2"/>
  <c r="P216" i="2" s="1"/>
  <c r="O82" i="2"/>
  <c r="P82" i="2" s="1"/>
  <c r="O144" i="2"/>
  <c r="P144" i="2" s="1"/>
  <c r="O150" i="2"/>
  <c r="P150" i="2" s="1"/>
  <c r="O253" i="2"/>
  <c r="P253" i="2" s="1"/>
  <c r="O154" i="2"/>
  <c r="P154" i="2" s="1"/>
  <c r="O36" i="2"/>
  <c r="P36" i="2" s="1"/>
  <c r="O313" i="2"/>
  <c r="P313" i="2" s="1"/>
  <c r="O71" i="2"/>
  <c r="P71" i="2" s="1"/>
  <c r="O54" i="2"/>
  <c r="P54" i="2" s="1"/>
  <c r="O255" i="2"/>
  <c r="P255" i="2" s="1"/>
  <c r="O99" i="2"/>
  <c r="P99" i="2" s="1"/>
  <c r="O273" i="2"/>
  <c r="P273" i="2" s="1"/>
  <c r="O276" i="2"/>
  <c r="P276" i="2" s="1"/>
  <c r="O275" i="2"/>
  <c r="P275" i="2" s="1"/>
  <c r="O12" i="2"/>
  <c r="P12" i="2" s="1"/>
  <c r="O58" i="2"/>
  <c r="P58" i="2" s="1"/>
  <c r="O192" i="2"/>
  <c r="P192" i="2" s="1"/>
  <c r="O42" i="2"/>
  <c r="P42" i="2" s="1"/>
  <c r="O158" i="2"/>
  <c r="P158" i="2" s="1"/>
  <c r="O172" i="2"/>
  <c r="P172" i="2" s="1"/>
  <c r="O319" i="2"/>
  <c r="P319" i="2" s="1"/>
  <c r="O104" i="2"/>
  <c r="P104" i="2" s="1"/>
  <c r="O33" i="2"/>
  <c r="P33" i="2" s="1"/>
  <c r="O284" i="2"/>
  <c r="P284" i="2" s="1"/>
  <c r="O84" i="2"/>
  <c r="P84" i="2" s="1"/>
  <c r="O88" i="2"/>
  <c r="P88" i="2" s="1"/>
  <c r="O249" i="2"/>
  <c r="P249" i="2" s="1"/>
  <c r="O285" i="2"/>
  <c r="P285" i="2" s="1"/>
  <c r="O17" i="2"/>
  <c r="P17" i="2" s="1"/>
  <c r="O288" i="2"/>
  <c r="P288" i="2" s="1"/>
  <c r="O262" i="2"/>
  <c r="P262" i="2" s="1"/>
  <c r="O86" i="2"/>
  <c r="P86" i="2" s="1"/>
  <c r="O75" i="2"/>
  <c r="P75" i="2" s="1"/>
  <c r="O274" i="2"/>
  <c r="P274" i="2" s="1"/>
  <c r="O236" i="2"/>
  <c r="P236" i="2" s="1"/>
  <c r="O30" i="2"/>
  <c r="P30" i="2" s="1"/>
  <c r="O10" i="2"/>
  <c r="P10" i="2" s="1"/>
  <c r="O123" i="2"/>
  <c r="P123" i="2" s="1"/>
  <c r="O126" i="2"/>
  <c r="P126" i="2" s="1"/>
  <c r="O218" i="2"/>
  <c r="P218" i="2" s="1"/>
  <c r="O152" i="2"/>
  <c r="P152" i="2" s="1"/>
  <c r="O190" i="2"/>
  <c r="P190" i="2" s="1"/>
  <c r="O97" i="2"/>
  <c r="P97" i="2" s="1"/>
  <c r="O317" i="2"/>
  <c r="P317" i="2" s="1"/>
  <c r="O49" i="2"/>
  <c r="P49" i="2" s="1"/>
  <c r="O91" i="2"/>
  <c r="P91" i="2" s="1"/>
  <c r="O180" i="2"/>
  <c r="P180" i="2" s="1"/>
  <c r="O35" i="2"/>
  <c r="P35" i="2" s="1"/>
  <c r="O22" i="2"/>
  <c r="P22" i="2" s="1"/>
  <c r="O167" i="2"/>
  <c r="P167" i="2" s="1"/>
  <c r="O130" i="2"/>
  <c r="P130" i="2" s="1"/>
  <c r="O21" i="2"/>
  <c r="P21" i="2" s="1"/>
  <c r="O137" i="2"/>
  <c r="P137" i="2" s="1"/>
  <c r="O70" i="2"/>
  <c r="P70" i="2" s="1"/>
  <c r="O43" i="2"/>
  <c r="P43" i="2" s="1"/>
  <c r="O240" i="2"/>
  <c r="P240" i="2" s="1"/>
  <c r="O124" i="2"/>
  <c r="P124" i="2" s="1"/>
  <c r="O3" i="2"/>
  <c r="P3" i="2" s="1"/>
  <c r="O105" i="2"/>
  <c r="P105" i="2" s="1"/>
  <c r="O135" i="2"/>
  <c r="P135" i="2" s="1"/>
  <c r="O11" i="2"/>
  <c r="P11" i="2" s="1"/>
  <c r="O175" i="2"/>
  <c r="P175" i="2" s="1"/>
  <c r="O182" i="2"/>
  <c r="P182" i="2" s="1"/>
  <c r="O145" i="2"/>
  <c r="P145" i="2" s="1"/>
  <c r="O196" i="2"/>
  <c r="P196" i="2" s="1"/>
  <c r="O2" i="2"/>
  <c r="P2" i="2" s="1"/>
  <c r="O125" i="2"/>
  <c r="P125" i="2" s="1"/>
  <c r="O31" i="2"/>
  <c r="P31" i="2" s="1"/>
  <c r="O270" i="2"/>
  <c r="P270" i="2" s="1"/>
  <c r="O214" i="2"/>
  <c r="P214" i="2" s="1"/>
  <c r="O140" i="2"/>
  <c r="P140" i="2" s="1"/>
  <c r="O23" i="2"/>
  <c r="P23" i="2" s="1"/>
  <c r="O269" i="2"/>
  <c r="P269" i="2" s="1"/>
  <c r="O115" i="2"/>
  <c r="P115" i="2" s="1"/>
  <c r="O295" i="2"/>
  <c r="P295" i="2" s="1"/>
  <c r="O68" i="2"/>
  <c r="P68" i="2" s="1"/>
  <c r="O264" i="2"/>
  <c r="P264" i="2" s="1"/>
  <c r="O261" i="2"/>
  <c r="P261" i="2" s="1"/>
  <c r="O6" i="2"/>
  <c r="P6" i="2" s="1"/>
  <c r="O96" i="2"/>
  <c r="P96" i="2" s="1"/>
  <c r="O38" i="2"/>
  <c r="P38" i="2" s="1"/>
  <c r="O213" i="2"/>
  <c r="P213" i="2" s="1"/>
  <c r="O98" i="2"/>
  <c r="P98" i="2" s="1"/>
  <c r="O239" i="2"/>
  <c r="P239" i="2" s="1"/>
  <c r="O279" i="2"/>
  <c r="P279" i="2" s="1"/>
  <c r="O233" i="2"/>
  <c r="P233" i="2" s="1"/>
  <c r="O278" i="2"/>
  <c r="P278" i="2" s="1"/>
  <c r="O303" i="2"/>
  <c r="P303" i="2" s="1"/>
  <c r="O110" i="2"/>
  <c r="P110" i="2" s="1"/>
  <c r="O201" i="2"/>
  <c r="P201" i="2" s="1"/>
  <c r="O315" i="2"/>
  <c r="P315" i="2" s="1"/>
  <c r="O44" i="2"/>
  <c r="P44" i="2" s="1"/>
  <c r="O34" i="2"/>
  <c r="P34" i="2" s="1"/>
  <c r="O107" i="2"/>
  <c r="P107" i="2" s="1"/>
  <c r="O59" i="2"/>
  <c r="P59" i="2" s="1"/>
  <c r="O66" i="2"/>
  <c r="P66" i="2" s="1"/>
  <c r="O55" i="2"/>
  <c r="P55" i="2" s="1"/>
  <c r="O77" i="2"/>
  <c r="P77" i="2" s="1"/>
  <c r="O267" i="2"/>
  <c r="P267" i="2" s="1"/>
  <c r="O230" i="2"/>
  <c r="P230" i="2" s="1"/>
  <c r="O155" i="2"/>
  <c r="P155" i="2" s="1"/>
  <c r="O181" i="2"/>
  <c r="P181" i="2" s="1"/>
  <c r="O219" i="2"/>
  <c r="P219" i="2" s="1"/>
  <c r="O52" i="2"/>
  <c r="P52" i="2" s="1"/>
  <c r="O37" i="2"/>
  <c r="P37" i="2" s="1"/>
  <c r="O47" i="2"/>
  <c r="P47" i="2" s="1"/>
  <c r="O227" i="2"/>
  <c r="P227" i="2" s="1"/>
  <c r="O147" i="2"/>
  <c r="P147" i="2" s="1"/>
  <c r="O260" i="2"/>
  <c r="P260" i="2" s="1"/>
  <c r="O164" i="2"/>
  <c r="P164" i="2" s="1"/>
  <c r="O194" i="2"/>
  <c r="P194" i="2" s="1"/>
  <c r="O231" i="2"/>
  <c r="P231" i="2" s="1"/>
  <c r="O93" i="2"/>
  <c r="P93" i="2" s="1"/>
  <c r="O29" i="2"/>
  <c r="P29" i="2" s="1"/>
  <c r="O266" i="2"/>
  <c r="P266" i="2" s="1"/>
  <c r="O9" i="2"/>
  <c r="P9" i="2" s="1"/>
  <c r="O283" i="2"/>
  <c r="P283" i="2" s="1"/>
  <c r="O109" i="2"/>
  <c r="P109" i="2" s="1"/>
  <c r="O79" i="2"/>
  <c r="P79" i="2" s="1"/>
  <c r="O235" i="2"/>
  <c r="P235" i="2" s="1"/>
  <c r="O151" i="2"/>
  <c r="P151" i="2" s="1"/>
  <c r="O101" i="2"/>
  <c r="P101" i="2" s="1"/>
  <c r="O263" i="2"/>
  <c r="P263" i="2" s="1"/>
  <c r="O308" i="2"/>
  <c r="P308" i="2" s="1"/>
  <c r="O112" i="2"/>
  <c r="P112" i="2" s="1"/>
  <c r="O208" i="2"/>
  <c r="P208" i="2" s="1"/>
  <c r="O108" i="2"/>
  <c r="P108" i="2" s="1"/>
  <c r="O265" i="2"/>
  <c r="P265" i="2" s="1"/>
  <c r="O268" i="2"/>
  <c r="P268" i="2" s="1"/>
  <c r="O198" i="2"/>
  <c r="P198" i="2" s="1"/>
  <c r="O162" i="2"/>
  <c r="P162" i="2" s="1"/>
  <c r="O14" i="2"/>
  <c r="P14" i="2" s="1"/>
  <c r="O64" i="2"/>
  <c r="P64" i="2" s="1"/>
  <c r="O19" i="2"/>
  <c r="P19" i="2" s="1"/>
  <c r="O139" i="2"/>
  <c r="P139" i="2" s="1"/>
  <c r="O187" i="2"/>
  <c r="P187" i="2" s="1"/>
  <c r="O254" i="2"/>
  <c r="P254" i="2" s="1"/>
  <c r="O169" i="2"/>
  <c r="P169" i="2" s="1"/>
  <c r="O163" i="2"/>
  <c r="P163" i="2" s="1"/>
  <c r="O67" i="2"/>
  <c r="P67" i="2" s="1"/>
  <c r="O7" i="2"/>
  <c r="P7" i="2" s="1"/>
  <c r="O251" i="2"/>
  <c r="P251" i="2" s="1"/>
  <c r="O92" i="2"/>
  <c r="P92" i="2" s="1"/>
  <c r="O117" i="2"/>
  <c r="P117" i="2" s="1"/>
  <c r="O258" i="2"/>
  <c r="P258" i="2" s="1"/>
  <c r="O281" i="2"/>
  <c r="P281" i="2" s="1"/>
  <c r="O282" i="2"/>
  <c r="P282" i="2" s="1"/>
  <c r="O207" i="2"/>
  <c r="P207" i="2" s="1"/>
  <c r="O191" i="2"/>
  <c r="P191" i="2" s="1"/>
  <c r="O312" i="2"/>
  <c r="P312" i="2" s="1"/>
  <c r="O56" i="2"/>
  <c r="P56" i="2" s="1"/>
  <c r="O245" i="2"/>
  <c r="P245" i="2" s="1"/>
  <c r="O272" i="2"/>
  <c r="P272" i="2" s="1"/>
  <c r="O18" i="2"/>
  <c r="P18" i="2" s="1"/>
  <c r="O228" i="2"/>
  <c r="P228" i="2" s="1"/>
  <c r="O15" i="2"/>
  <c r="P15" i="2" s="1"/>
  <c r="O290" i="2"/>
  <c r="P290" i="2" s="1"/>
  <c r="O223" i="2"/>
  <c r="P223" i="2" s="1"/>
  <c r="O143" i="2"/>
  <c r="P143" i="2" s="1"/>
  <c r="O27" i="2"/>
  <c r="P27" i="2" s="1"/>
  <c r="O300" i="2"/>
  <c r="P300" i="2" s="1"/>
  <c r="O293" i="2"/>
  <c r="P293" i="2" s="1"/>
  <c r="O149" i="2"/>
  <c r="P149" i="2" s="1"/>
  <c r="O307" i="2"/>
  <c r="P307" i="2" s="1"/>
  <c r="O176" i="2"/>
  <c r="P176" i="2" s="1"/>
  <c r="O212" i="2"/>
  <c r="P212" i="2" s="1"/>
  <c r="O69" i="2"/>
  <c r="P69" i="2" s="1"/>
  <c r="O60" i="2"/>
  <c r="P60" i="2" s="1"/>
  <c r="O185" i="2"/>
  <c r="P185" i="2" s="1"/>
  <c r="O132" i="2"/>
  <c r="P132" i="2" s="1"/>
  <c r="O103" i="2"/>
  <c r="P103" i="2" s="1"/>
  <c r="O100" i="2"/>
  <c r="P100" i="2" s="1"/>
  <c r="O40" i="2"/>
  <c r="P40" i="2" s="1"/>
  <c r="O80" i="2"/>
  <c r="P80" i="2" s="1"/>
  <c r="O131" i="2"/>
  <c r="P131" i="2" s="1"/>
  <c r="O168" i="2"/>
  <c r="P168" i="2" s="1"/>
  <c r="O174" i="2"/>
  <c r="P174" i="2" s="1"/>
  <c r="O277" i="2"/>
  <c r="P277" i="2" s="1"/>
  <c r="O134" i="2"/>
  <c r="P134" i="2" s="1"/>
  <c r="O222" i="2"/>
  <c r="P222" i="2" s="1"/>
  <c r="O271" i="2"/>
  <c r="P271" i="2" s="1"/>
  <c r="O63" i="2"/>
  <c r="P63" i="2" s="1"/>
  <c r="O296" i="2"/>
  <c r="P296" i="2" s="1"/>
  <c r="O61" i="2"/>
  <c r="P61" i="2" s="1"/>
  <c r="O286" i="2"/>
  <c r="P286" i="2" s="1"/>
  <c r="O72" i="2"/>
  <c r="P72" i="2" s="1"/>
  <c r="O32" i="2"/>
  <c r="P32" i="2" s="1"/>
  <c r="O20" i="2"/>
  <c r="P20" i="2" s="1"/>
  <c r="O193" i="2"/>
  <c r="P193" i="2" s="1"/>
  <c r="O119" i="2"/>
  <c r="P119" i="2" s="1"/>
  <c r="O289" i="2"/>
  <c r="P289" i="2" s="1"/>
  <c r="O177" i="2"/>
  <c r="P177" i="2" s="1"/>
  <c r="O238" i="2"/>
  <c r="P238" i="2" s="1"/>
  <c r="O166" i="2"/>
  <c r="P166" i="2" s="1"/>
  <c r="O90" i="2"/>
  <c r="P90" i="2" s="1"/>
  <c r="O89" i="2"/>
  <c r="P89" i="2" s="1"/>
  <c r="O118" i="2"/>
  <c r="P118" i="2" s="1"/>
  <c r="O76" i="2"/>
  <c r="P76" i="2" s="1"/>
  <c r="O102" i="2"/>
  <c r="P102" i="2" s="1"/>
  <c r="O142" i="2"/>
  <c r="P142" i="2" s="1"/>
  <c r="O243" i="2"/>
  <c r="P243" i="2" s="1"/>
  <c r="O200" i="2"/>
  <c r="P200" i="2" s="1"/>
  <c r="O81" i="2"/>
  <c r="P81" i="2" s="1"/>
  <c r="O244" i="2"/>
  <c r="P244" i="2" s="1"/>
  <c r="O173" i="2"/>
  <c r="P173" i="2" s="1"/>
  <c r="O184" i="2"/>
  <c r="P184" i="2" s="1"/>
  <c r="O51" i="2"/>
  <c r="P51" i="2" s="1"/>
  <c r="O5" i="2"/>
  <c r="P5" i="2" s="1"/>
  <c r="O50" i="2"/>
  <c r="P50" i="2" s="1"/>
  <c r="O217" i="2"/>
  <c r="P217" i="2" s="1"/>
  <c r="O8" i="2"/>
  <c r="P8" i="2" s="1"/>
  <c r="O114" i="2"/>
  <c r="P114" i="2" s="1"/>
  <c r="O133" i="2"/>
  <c r="P133" i="2" s="1"/>
  <c r="O26" i="2"/>
  <c r="P26" i="2" s="1"/>
  <c r="O116" i="2"/>
  <c r="P116" i="2" s="1"/>
  <c r="O161" i="2"/>
  <c r="P161" i="2" s="1"/>
  <c r="O41" i="2"/>
  <c r="P41" i="2" s="1"/>
  <c r="O73" i="2"/>
  <c r="P73" i="2" s="1"/>
  <c r="O160" i="2"/>
  <c r="P160" i="2" s="1"/>
  <c r="O113" i="2"/>
  <c r="P113" i="2" s="1"/>
  <c r="O106" i="2"/>
  <c r="P106" i="2" s="1"/>
  <c r="O57" i="2"/>
  <c r="P57" i="2" s="1"/>
  <c r="O292" i="2"/>
  <c r="P292" i="2" s="1"/>
  <c r="O53" i="2"/>
  <c r="P53" i="2" s="1"/>
  <c r="O189" i="2"/>
  <c r="P189" i="2" s="1"/>
  <c r="O304" i="2"/>
  <c r="P304" i="2" s="1"/>
  <c r="O159" i="2"/>
  <c r="P159" i="2" s="1"/>
  <c r="O83" i="2"/>
  <c r="P83" i="2" s="1"/>
  <c r="O188" i="2"/>
  <c r="P188" i="2" s="1"/>
  <c r="O48" i="2"/>
  <c r="P48" i="2" s="1"/>
  <c r="O302" i="2"/>
  <c r="P302" i="2" s="1"/>
  <c r="O87" i="2"/>
  <c r="P87" i="2" s="1"/>
  <c r="O186" i="2"/>
  <c r="P186" i="2" s="1"/>
  <c r="O224" i="2"/>
  <c r="P224" i="2" s="1"/>
  <c r="O287" i="2"/>
  <c r="P287" i="2" s="1"/>
  <c r="O237" i="2"/>
  <c r="P237" i="2" s="1"/>
  <c r="O46" i="2"/>
  <c r="P46" i="2" s="1"/>
  <c r="O226" i="2"/>
  <c r="P226" i="2" s="1"/>
  <c r="O204" i="2"/>
  <c r="P204" i="2" s="1"/>
  <c r="O156" i="2"/>
  <c r="P156" i="2" s="1"/>
  <c r="O129" i="2"/>
  <c r="P129" i="2" s="1"/>
  <c r="O250" i="2"/>
  <c r="P250" i="2" s="1"/>
  <c r="O248" i="2"/>
  <c r="P248" i="2" s="1"/>
  <c r="O259" i="2"/>
  <c r="P259" i="2" s="1"/>
  <c r="O24" i="2"/>
  <c r="P24" i="2" s="1"/>
  <c r="O141" i="2"/>
  <c r="P141" i="2" s="1"/>
  <c r="O257" i="2"/>
  <c r="P257" i="2" s="1"/>
  <c r="O121" i="2"/>
  <c r="P121" i="2" s="1"/>
  <c r="O183" i="2"/>
  <c r="P183" i="2" s="1"/>
  <c r="O148" i="2"/>
  <c r="P148" i="2" s="1"/>
  <c r="O128" i="2"/>
  <c r="P128" i="2" s="1"/>
  <c r="O4" i="2"/>
  <c r="P4" i="2" s="1"/>
  <c r="O203" i="2"/>
  <c r="P203" i="2" s="1"/>
  <c r="O298" i="2"/>
  <c r="P298" i="2" s="1"/>
  <c r="O209" i="2"/>
  <c r="P209" i="2" s="1"/>
  <c r="O199" i="2"/>
  <c r="P199" i="2" s="1"/>
  <c r="O170" i="2"/>
  <c r="P170" i="2" s="1"/>
  <c r="O25" i="2"/>
  <c r="P25" i="2" s="1"/>
  <c r="O45" i="2"/>
  <c r="P45" i="2" s="1"/>
  <c r="O314" i="2"/>
  <c r="P314" i="2" s="1"/>
  <c r="O85" i="2"/>
  <c r="P85" i="2" s="1"/>
  <c r="O242" i="2"/>
  <c r="P242" i="2" s="1"/>
  <c r="O210" i="2"/>
  <c r="P210" i="2" s="1"/>
  <c r="O294" i="2"/>
  <c r="P294" i="2" s="1"/>
  <c r="O215" i="2"/>
  <c r="P215" i="2" s="1"/>
  <c r="O95" i="2"/>
  <c r="P95" i="2" s="1"/>
  <c r="O136" i="2"/>
  <c r="P136" i="2" s="1"/>
  <c r="O241" i="2"/>
  <c r="P241" i="2" s="1"/>
  <c r="O62" i="2"/>
  <c r="P62" i="2" s="1"/>
  <c r="O74" i="2"/>
  <c r="P74" i="2" s="1"/>
  <c r="O280" i="2"/>
  <c r="P280" i="2" s="1"/>
  <c r="O171" i="2"/>
  <c r="P171" i="2" s="1"/>
  <c r="O232" i="2"/>
  <c r="P232" i="2" s="1"/>
  <c r="O291" i="2"/>
  <c r="P291" i="2" s="1"/>
  <c r="O309" i="2"/>
  <c r="P309" i="2" s="1"/>
  <c r="O3" i="3" l="1"/>
  <c r="P3" i="3"/>
  <c r="O4" i="3"/>
  <c r="P4" i="3"/>
  <c r="O5" i="3"/>
  <c r="P5" i="3"/>
  <c r="O6" i="3"/>
  <c r="P6" i="3"/>
  <c r="O7" i="3"/>
  <c r="P7" i="3"/>
  <c r="O8" i="3"/>
  <c r="P8" i="3"/>
  <c r="O9" i="3"/>
  <c r="P9" i="3"/>
  <c r="O10" i="3"/>
  <c r="P10" i="3"/>
  <c r="O11" i="3"/>
  <c r="P11" i="3"/>
  <c r="O12" i="3"/>
  <c r="P12" i="3"/>
  <c r="O13" i="3"/>
  <c r="P13" i="3"/>
  <c r="O14" i="3"/>
  <c r="P14" i="3"/>
  <c r="O15" i="3"/>
  <c r="P15" i="3"/>
  <c r="O16" i="3"/>
  <c r="P16" i="3"/>
  <c r="O17" i="3"/>
  <c r="P17" i="3"/>
  <c r="O18" i="3"/>
  <c r="P18" i="3"/>
  <c r="O19" i="3"/>
  <c r="P19" i="3"/>
  <c r="O20" i="3"/>
  <c r="P20" i="3"/>
  <c r="O21" i="3"/>
  <c r="P21" i="3"/>
  <c r="O22" i="3"/>
  <c r="P22" i="3"/>
  <c r="O23" i="3"/>
  <c r="P23" i="3"/>
  <c r="O24" i="3"/>
  <c r="P24" i="3"/>
  <c r="O25" i="3"/>
  <c r="P25" i="3"/>
  <c r="O26" i="3"/>
  <c r="P26" i="3"/>
  <c r="O27" i="3"/>
  <c r="P27" i="3"/>
  <c r="O28" i="3"/>
  <c r="P28" i="3"/>
  <c r="O29" i="3"/>
  <c r="P29" i="3"/>
  <c r="O30" i="3"/>
  <c r="P30" i="3"/>
  <c r="O31" i="3"/>
  <c r="P31" i="3"/>
  <c r="O32" i="3"/>
  <c r="P32" i="3"/>
  <c r="O33" i="3"/>
  <c r="P33" i="3"/>
  <c r="O34" i="3"/>
  <c r="P34" i="3"/>
  <c r="O35" i="3"/>
  <c r="P35" i="3"/>
  <c r="O36" i="3"/>
  <c r="P36" i="3"/>
  <c r="O37" i="3"/>
  <c r="P37" i="3"/>
  <c r="O38" i="3"/>
  <c r="P38" i="3"/>
  <c r="O39" i="3"/>
  <c r="P39" i="3"/>
  <c r="O40" i="3"/>
  <c r="P40" i="3"/>
  <c r="O41" i="3"/>
  <c r="P41" i="3"/>
  <c r="O42" i="3"/>
  <c r="P42" i="3"/>
  <c r="O43" i="3"/>
  <c r="P43" i="3"/>
  <c r="O44" i="3"/>
  <c r="P44" i="3"/>
  <c r="O45" i="3"/>
  <c r="P45" i="3"/>
  <c r="O46" i="3"/>
  <c r="P46" i="3"/>
  <c r="O47" i="3"/>
  <c r="P47" i="3"/>
  <c r="O48" i="3"/>
  <c r="P48" i="3"/>
  <c r="O49" i="3"/>
  <c r="P49" i="3"/>
  <c r="O50" i="3"/>
  <c r="P50" i="3"/>
  <c r="O51" i="3"/>
  <c r="P51" i="3"/>
  <c r="O52" i="3"/>
  <c r="P52" i="3"/>
  <c r="O53" i="3"/>
  <c r="P53" i="3"/>
  <c r="O54" i="3"/>
  <c r="P54" i="3"/>
  <c r="O55" i="3"/>
  <c r="P55" i="3"/>
  <c r="O56" i="3"/>
  <c r="P56" i="3"/>
  <c r="O57" i="3"/>
  <c r="P57" i="3"/>
  <c r="O58" i="3"/>
  <c r="P58" i="3"/>
  <c r="O59" i="3"/>
  <c r="P59" i="3"/>
  <c r="O60" i="3"/>
  <c r="P60" i="3"/>
  <c r="O61" i="3"/>
  <c r="P61" i="3"/>
  <c r="O62" i="3"/>
  <c r="P62" i="3"/>
  <c r="O63" i="3"/>
  <c r="P63" i="3"/>
  <c r="O64" i="3"/>
  <c r="P64" i="3"/>
  <c r="O65" i="3"/>
  <c r="P65" i="3"/>
  <c r="O66" i="3"/>
  <c r="P66" i="3"/>
  <c r="O67" i="3"/>
  <c r="P67" i="3"/>
  <c r="O68" i="3"/>
  <c r="P68" i="3"/>
  <c r="O69" i="3"/>
  <c r="P69" i="3"/>
  <c r="O70" i="3"/>
  <c r="P70" i="3"/>
  <c r="O71" i="3"/>
  <c r="P71" i="3"/>
  <c r="O72" i="3"/>
  <c r="P72" i="3"/>
  <c r="O73" i="3"/>
  <c r="P73" i="3"/>
  <c r="O74" i="3"/>
  <c r="P74" i="3"/>
  <c r="O75" i="3"/>
  <c r="P75" i="3"/>
  <c r="O76" i="3"/>
  <c r="P76" i="3"/>
  <c r="O77" i="3"/>
  <c r="P77" i="3"/>
  <c r="O78" i="3"/>
  <c r="P78" i="3"/>
  <c r="O79" i="3"/>
  <c r="P79" i="3"/>
  <c r="O80" i="3"/>
  <c r="P80" i="3"/>
  <c r="O81" i="3"/>
  <c r="P81" i="3"/>
  <c r="O82" i="3"/>
  <c r="P82" i="3"/>
  <c r="O83" i="3"/>
  <c r="P83" i="3"/>
  <c r="O84" i="3"/>
  <c r="P84" i="3"/>
  <c r="O85" i="3"/>
  <c r="P85" i="3"/>
  <c r="O86" i="3"/>
  <c r="P86" i="3"/>
  <c r="O87" i="3"/>
  <c r="P87" i="3"/>
  <c r="O88" i="3"/>
  <c r="P88" i="3"/>
  <c r="O89" i="3"/>
  <c r="P89" i="3"/>
  <c r="O90" i="3"/>
  <c r="P90" i="3"/>
  <c r="O91" i="3"/>
  <c r="P91" i="3"/>
  <c r="O92" i="3"/>
  <c r="P92" i="3"/>
  <c r="O93" i="3"/>
  <c r="P93" i="3"/>
  <c r="O94" i="3"/>
  <c r="P94" i="3"/>
  <c r="O95" i="3"/>
  <c r="P95" i="3"/>
  <c r="O96" i="3"/>
  <c r="P96" i="3"/>
  <c r="O97" i="3"/>
  <c r="P97" i="3"/>
  <c r="O98" i="3"/>
  <c r="P98" i="3"/>
  <c r="O99" i="3"/>
  <c r="P99" i="3"/>
  <c r="O100" i="3"/>
  <c r="P100" i="3"/>
  <c r="O101" i="3"/>
  <c r="P101" i="3"/>
  <c r="O102" i="3"/>
  <c r="P102" i="3"/>
  <c r="O103" i="3"/>
  <c r="P103" i="3"/>
  <c r="O104" i="3"/>
  <c r="P104" i="3"/>
  <c r="O105" i="3"/>
  <c r="P105" i="3"/>
  <c r="O106" i="3"/>
  <c r="P106" i="3"/>
  <c r="O107" i="3"/>
  <c r="P107" i="3"/>
  <c r="O108" i="3"/>
  <c r="P108" i="3"/>
  <c r="O109" i="3"/>
  <c r="P109" i="3"/>
  <c r="O110" i="3"/>
  <c r="P110" i="3"/>
  <c r="O111" i="3"/>
  <c r="P111" i="3"/>
  <c r="O112" i="3"/>
  <c r="P112" i="3"/>
  <c r="O113" i="3"/>
  <c r="P113" i="3"/>
  <c r="O114" i="3"/>
  <c r="P114" i="3"/>
  <c r="O115" i="3"/>
  <c r="P115" i="3"/>
  <c r="O116" i="3"/>
  <c r="P116" i="3"/>
  <c r="O117" i="3"/>
  <c r="P117" i="3"/>
  <c r="O118" i="3"/>
  <c r="P118" i="3"/>
  <c r="O119" i="3"/>
  <c r="P119" i="3"/>
  <c r="O120" i="3"/>
  <c r="P120" i="3"/>
  <c r="O121" i="3"/>
  <c r="P121" i="3"/>
  <c r="O122" i="3"/>
  <c r="P122" i="3"/>
  <c r="O123" i="3"/>
  <c r="P123" i="3"/>
  <c r="O124" i="3"/>
  <c r="P124" i="3"/>
  <c r="O125" i="3"/>
  <c r="P125" i="3"/>
  <c r="O126" i="3"/>
  <c r="P126" i="3"/>
  <c r="O127" i="3"/>
  <c r="P127" i="3"/>
  <c r="O128" i="3"/>
  <c r="P128" i="3"/>
  <c r="O129" i="3"/>
  <c r="P129" i="3"/>
  <c r="O130" i="3"/>
  <c r="P130" i="3"/>
  <c r="O131" i="3"/>
  <c r="P131" i="3"/>
  <c r="O132" i="3"/>
  <c r="P132" i="3"/>
  <c r="O133" i="3"/>
  <c r="P133" i="3"/>
  <c r="O134" i="3"/>
  <c r="P134" i="3"/>
  <c r="O135" i="3"/>
  <c r="P135" i="3"/>
  <c r="O136" i="3"/>
  <c r="P136" i="3"/>
  <c r="O137" i="3"/>
  <c r="P137" i="3"/>
  <c r="O138" i="3"/>
  <c r="P138" i="3"/>
  <c r="O139" i="3"/>
  <c r="P139" i="3"/>
  <c r="O140" i="3"/>
  <c r="P140" i="3"/>
  <c r="O141" i="3"/>
  <c r="P141" i="3"/>
  <c r="O142" i="3"/>
  <c r="P142" i="3"/>
  <c r="O143" i="3"/>
  <c r="P143" i="3"/>
  <c r="O144" i="3"/>
  <c r="P144" i="3"/>
  <c r="O145" i="3"/>
  <c r="P145" i="3"/>
  <c r="O146" i="3"/>
  <c r="P146" i="3"/>
  <c r="O147" i="3"/>
  <c r="P147" i="3"/>
  <c r="O148" i="3"/>
  <c r="P148" i="3"/>
  <c r="O149" i="3"/>
  <c r="P149" i="3"/>
  <c r="O150" i="3"/>
  <c r="P150" i="3"/>
  <c r="O151" i="3"/>
  <c r="P151" i="3"/>
  <c r="O152" i="3"/>
  <c r="P152" i="3"/>
  <c r="O153" i="3"/>
  <c r="P153" i="3"/>
  <c r="O154" i="3"/>
  <c r="P154" i="3"/>
  <c r="O155" i="3"/>
  <c r="P155" i="3"/>
  <c r="O156" i="3"/>
  <c r="P156" i="3"/>
  <c r="O157" i="3"/>
  <c r="P157" i="3"/>
  <c r="O158" i="3"/>
  <c r="P158" i="3"/>
  <c r="O159" i="3"/>
  <c r="P159" i="3"/>
  <c r="O160" i="3"/>
  <c r="P160" i="3"/>
  <c r="O161" i="3"/>
  <c r="P161" i="3"/>
  <c r="O162" i="3"/>
  <c r="P162" i="3"/>
  <c r="O163" i="3"/>
  <c r="P163" i="3"/>
  <c r="O164" i="3"/>
  <c r="P164" i="3"/>
  <c r="O165" i="3"/>
  <c r="P165" i="3"/>
  <c r="O166" i="3"/>
  <c r="P166" i="3"/>
  <c r="O167" i="3"/>
  <c r="P167" i="3"/>
  <c r="O168" i="3"/>
  <c r="P168" i="3"/>
  <c r="O169" i="3"/>
  <c r="P169" i="3"/>
  <c r="O170" i="3"/>
  <c r="P170" i="3"/>
  <c r="O171" i="3"/>
  <c r="P171" i="3"/>
  <c r="O172" i="3"/>
  <c r="P172" i="3"/>
  <c r="O173" i="3"/>
  <c r="P173" i="3"/>
  <c r="O174" i="3"/>
  <c r="P174" i="3"/>
  <c r="O175" i="3"/>
  <c r="P175" i="3"/>
  <c r="O176" i="3"/>
  <c r="P176" i="3"/>
  <c r="O177" i="3"/>
  <c r="P177" i="3"/>
  <c r="O178" i="3"/>
  <c r="P178" i="3"/>
  <c r="O179" i="3"/>
  <c r="P179" i="3"/>
  <c r="O180" i="3"/>
  <c r="P180" i="3"/>
  <c r="O181" i="3"/>
  <c r="P181" i="3"/>
  <c r="O182" i="3"/>
  <c r="P182" i="3"/>
  <c r="O183" i="3"/>
  <c r="P183" i="3"/>
  <c r="O184" i="3"/>
  <c r="P184" i="3"/>
  <c r="O185" i="3"/>
  <c r="P185" i="3"/>
  <c r="O186" i="3"/>
  <c r="P186" i="3"/>
  <c r="O187" i="3"/>
  <c r="P187" i="3"/>
  <c r="O188" i="3"/>
  <c r="P188" i="3"/>
  <c r="O189" i="3"/>
  <c r="P189" i="3"/>
  <c r="O190" i="3"/>
  <c r="P190" i="3"/>
  <c r="O191" i="3"/>
  <c r="P191" i="3"/>
  <c r="O192" i="3"/>
  <c r="P192" i="3"/>
  <c r="O193" i="3"/>
  <c r="P193" i="3"/>
  <c r="O194" i="3"/>
  <c r="P194" i="3"/>
  <c r="O195" i="3"/>
  <c r="P195" i="3"/>
  <c r="O196" i="3"/>
  <c r="P196" i="3"/>
  <c r="O197" i="3"/>
  <c r="P197" i="3"/>
  <c r="O198" i="3"/>
  <c r="P198" i="3"/>
  <c r="O199" i="3"/>
  <c r="P199" i="3"/>
  <c r="O200" i="3"/>
  <c r="P200" i="3"/>
  <c r="O201" i="3"/>
  <c r="P201" i="3"/>
  <c r="O202" i="3"/>
  <c r="P202" i="3"/>
  <c r="O203" i="3"/>
  <c r="P203" i="3"/>
  <c r="O204" i="3"/>
  <c r="P204" i="3"/>
  <c r="O205" i="3"/>
  <c r="P205" i="3"/>
  <c r="O206" i="3"/>
  <c r="P206" i="3"/>
  <c r="O207" i="3"/>
  <c r="P207" i="3"/>
  <c r="O208" i="3"/>
  <c r="P208" i="3"/>
  <c r="O209" i="3"/>
  <c r="P209" i="3"/>
  <c r="O210" i="3"/>
  <c r="P210" i="3"/>
  <c r="O211" i="3"/>
  <c r="P211" i="3"/>
  <c r="O212" i="3"/>
  <c r="P212" i="3"/>
  <c r="O213" i="3"/>
  <c r="P213" i="3"/>
  <c r="O214" i="3"/>
  <c r="P214" i="3"/>
  <c r="O215" i="3"/>
  <c r="P215" i="3"/>
  <c r="O216" i="3"/>
  <c r="P216" i="3"/>
  <c r="O217" i="3"/>
  <c r="P217" i="3"/>
  <c r="O218" i="3"/>
  <c r="P218" i="3"/>
  <c r="O219" i="3"/>
  <c r="P219" i="3"/>
  <c r="O220" i="3"/>
  <c r="P220" i="3"/>
  <c r="O221" i="3"/>
  <c r="P221" i="3"/>
  <c r="O222" i="3"/>
  <c r="P222" i="3"/>
  <c r="O223" i="3"/>
  <c r="P223" i="3"/>
  <c r="O224" i="3"/>
  <c r="P224" i="3"/>
  <c r="O225" i="3"/>
  <c r="P225" i="3"/>
  <c r="O226" i="3"/>
  <c r="P226" i="3"/>
  <c r="O227" i="3"/>
  <c r="P227" i="3"/>
  <c r="O228" i="3"/>
  <c r="P228" i="3"/>
  <c r="O229" i="3"/>
  <c r="P229" i="3"/>
  <c r="O230" i="3"/>
  <c r="P230" i="3"/>
  <c r="O231" i="3"/>
  <c r="P231" i="3"/>
  <c r="O232" i="3"/>
  <c r="P232" i="3"/>
  <c r="O233" i="3"/>
  <c r="P233" i="3"/>
  <c r="O234" i="3"/>
  <c r="P234" i="3"/>
  <c r="O235" i="3"/>
  <c r="P235" i="3"/>
  <c r="O236" i="3"/>
  <c r="P236" i="3"/>
  <c r="O237" i="3"/>
  <c r="P237" i="3"/>
  <c r="O238" i="3"/>
  <c r="P238" i="3"/>
  <c r="O239" i="3"/>
  <c r="P239" i="3"/>
  <c r="O240" i="3"/>
  <c r="P240" i="3"/>
  <c r="O241" i="3"/>
  <c r="P241" i="3"/>
  <c r="O242" i="3"/>
  <c r="P242" i="3"/>
  <c r="O243" i="3"/>
  <c r="P243" i="3"/>
  <c r="O244" i="3"/>
  <c r="P244" i="3"/>
  <c r="O245" i="3"/>
  <c r="P245" i="3"/>
  <c r="O246" i="3"/>
  <c r="P246" i="3"/>
  <c r="O247" i="3"/>
  <c r="P247" i="3"/>
  <c r="O248" i="3"/>
  <c r="P248" i="3"/>
  <c r="O249" i="3"/>
  <c r="P249" i="3"/>
  <c r="O250" i="3"/>
  <c r="P250" i="3"/>
  <c r="O251" i="3"/>
  <c r="P251" i="3"/>
  <c r="O252" i="3"/>
  <c r="P252" i="3"/>
  <c r="O253" i="3"/>
  <c r="P253" i="3"/>
  <c r="O254" i="3"/>
  <c r="P254" i="3"/>
  <c r="O255" i="3"/>
  <c r="P255" i="3"/>
  <c r="O256" i="3"/>
  <c r="P256" i="3"/>
  <c r="O257" i="3"/>
  <c r="P257" i="3"/>
  <c r="O258" i="3"/>
  <c r="P258" i="3"/>
  <c r="O259" i="3"/>
  <c r="P259" i="3"/>
  <c r="O260" i="3"/>
  <c r="P260" i="3"/>
  <c r="O261" i="3"/>
  <c r="P261" i="3"/>
  <c r="O262" i="3"/>
  <c r="P262" i="3"/>
  <c r="O263" i="3"/>
  <c r="P263" i="3"/>
  <c r="O264" i="3"/>
  <c r="P264" i="3"/>
  <c r="O265" i="3"/>
  <c r="P265" i="3"/>
  <c r="O266" i="3"/>
  <c r="P266" i="3"/>
  <c r="O267" i="3"/>
  <c r="P267" i="3"/>
  <c r="O268" i="3"/>
  <c r="P268" i="3"/>
  <c r="O269" i="3"/>
  <c r="P269" i="3"/>
  <c r="O270" i="3"/>
  <c r="P270" i="3"/>
  <c r="O271" i="3"/>
  <c r="P271" i="3"/>
  <c r="O272" i="3"/>
  <c r="P272" i="3"/>
  <c r="O273" i="3"/>
  <c r="P273" i="3"/>
  <c r="O274" i="3"/>
  <c r="P274" i="3"/>
  <c r="O275" i="3"/>
  <c r="P275" i="3"/>
  <c r="O276" i="3"/>
  <c r="P276" i="3"/>
  <c r="O277" i="3"/>
  <c r="P277" i="3"/>
  <c r="O278" i="3"/>
  <c r="P278" i="3"/>
  <c r="O279" i="3"/>
  <c r="P279" i="3"/>
  <c r="O280" i="3"/>
  <c r="P280" i="3"/>
  <c r="O281" i="3"/>
  <c r="P281" i="3"/>
  <c r="O282" i="3"/>
  <c r="P282" i="3"/>
  <c r="O283" i="3"/>
  <c r="P283" i="3"/>
  <c r="O284" i="3"/>
  <c r="P284" i="3"/>
  <c r="O285" i="3"/>
  <c r="P285" i="3"/>
  <c r="O286" i="3"/>
  <c r="P286" i="3"/>
  <c r="O287" i="3"/>
  <c r="P287" i="3"/>
  <c r="O288" i="3"/>
  <c r="P288" i="3"/>
  <c r="O289" i="3"/>
  <c r="P289" i="3"/>
  <c r="O290" i="3"/>
  <c r="P290" i="3"/>
  <c r="O291" i="3"/>
  <c r="P291" i="3"/>
  <c r="O292" i="3"/>
  <c r="P292" i="3"/>
  <c r="O293" i="3"/>
  <c r="P293" i="3"/>
  <c r="O294" i="3"/>
  <c r="P294" i="3"/>
  <c r="O295" i="3"/>
  <c r="P295" i="3"/>
  <c r="O296" i="3"/>
  <c r="P296" i="3"/>
  <c r="O297" i="3"/>
  <c r="P297" i="3"/>
  <c r="O298" i="3"/>
  <c r="P298" i="3"/>
  <c r="O299" i="3"/>
  <c r="P299" i="3"/>
  <c r="O300" i="3"/>
  <c r="P300" i="3"/>
  <c r="O301" i="3"/>
  <c r="P301" i="3"/>
  <c r="O302" i="3"/>
  <c r="P302" i="3"/>
  <c r="O303" i="3"/>
  <c r="P303" i="3"/>
  <c r="O304" i="3"/>
  <c r="P304" i="3"/>
  <c r="O305" i="3"/>
  <c r="P305" i="3"/>
  <c r="O306" i="3"/>
  <c r="P306" i="3"/>
  <c r="O307" i="3"/>
  <c r="P307" i="3"/>
  <c r="O308" i="3"/>
  <c r="P308" i="3"/>
  <c r="O309" i="3"/>
  <c r="P309" i="3"/>
  <c r="O310" i="3"/>
  <c r="P310" i="3"/>
  <c r="O311" i="3"/>
  <c r="P311" i="3"/>
  <c r="O312" i="3"/>
  <c r="P312" i="3"/>
  <c r="O313" i="3"/>
  <c r="P313" i="3"/>
  <c r="O314" i="3"/>
  <c r="P314" i="3"/>
  <c r="O315" i="3"/>
  <c r="P315" i="3"/>
  <c r="O316" i="3"/>
  <c r="P316" i="3"/>
  <c r="O317" i="3"/>
  <c r="P317" i="3"/>
  <c r="O318" i="3"/>
  <c r="P318" i="3"/>
  <c r="O319" i="3"/>
  <c r="P319" i="3"/>
  <c r="O320" i="3"/>
  <c r="P320" i="3"/>
  <c r="O321" i="3"/>
  <c r="P321" i="3"/>
  <c r="P2" i="3"/>
  <c r="O2" i="3"/>
</calcChain>
</file>

<file path=xl/sharedStrings.xml><?xml version="1.0" encoding="utf-8"?>
<sst xmlns="http://schemas.openxmlformats.org/spreadsheetml/2006/main" count="3005" uniqueCount="129">
  <si>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</si>
  <si>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</si>
  <si>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</si>
  <si>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</si>
  <si>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</si>
  <si>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</si>
  <si>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</si>
  <si>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</si>
  <si>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</si>
  <si>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</si>
  <si>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</si>
  <si>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</si>
  <si>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</si>
  <si>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</si>
  <si>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</si>
  <si>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</si>
  <si>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</si>
  <si>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</si>
  <si>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</si>
  <si>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</si>
  <si>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</si>
  <si>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</si>
  <si>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</si>
  <si>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</si>
  <si>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</si>
  <si>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</si>
  <si>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</si>
  <si>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</si>
  <si>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</si>
  <si>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</si>
  <si>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</si>
  <si>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</si>
  <si>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</si>
  <si>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</si>
  <si>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</si>
  <si>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</si>
  <si>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</si>
  <si>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</si>
  <si>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</si>
  <si>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</si>
  <si>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</si>
  <si>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</si>
  <si>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</si>
  <si>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</si>
  <si>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</si>
  <si>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</si>
  <si>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</si>
  <si>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</si>
  <si>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</si>
  <si>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</si>
  <si>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</si>
  <si>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</si>
  <si>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</si>
  <si>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</si>
  <si>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</si>
  <si>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</si>
  <si>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</si>
  <si>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</si>
  <si>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</si>
  <si>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</si>
  <si>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</si>
  <si>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</si>
  <si>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</si>
  <si>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</si>
  <si>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</si>
  <si>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</si>
  <si>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</si>
  <si>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</si>
  <si>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</si>
  <si>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</si>
  <si>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</si>
  <si>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</si>
  <si>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</si>
  <si>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</si>
  <si>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</si>
  <si>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</si>
  <si>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</si>
  <si>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</si>
  <si>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</si>
  <si>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</si>
  <si>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</si>
  <si>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</si>
  <si>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</si>
  <si>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</si>
  <si>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</si>
  <si>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</si>
  <si>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</si>
  <si>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</si>
  <si>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</si>
  <si>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</si>
  <si>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</si>
  <si>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</si>
  <si>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</si>
  <si>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</si>
  <si>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</si>
  <si>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</si>
  <si>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</si>
  <si>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</si>
  <si>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</si>
  <si>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</si>
  <si>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</si>
  <si>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</si>
  <si>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Residential_Dummy</t>
  </si>
  <si>
    <t>HighStreet_Dummy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</si>
  <si>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</si>
  <si>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</si>
  <si>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</si>
  <si>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</si>
  <si>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</si>
  <si>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</si>
  <si>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</si>
  <si>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</si>
  <si>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</si>
  <si>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</si>
  <si>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</si>
  <si>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</si>
  <si>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</si>
  <si>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</si>
  <si>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</si>
  <si>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</si>
  <si>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</si>
  <si>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</si>
  <si>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</si>
  <si>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</si>
  <si>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</si>
  <si>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</si>
  <si>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</si>
  <si>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</si>
  <si>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Predicted_Sales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</si>
</sst>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"/>
  </numFmts>
  <fonts count="4">
    <font>
      <sz val="11"/>
      <color theme="1"/>
      <name val="Calibri"/>
      <family val="2"/>
      <scheme val="minor"/>
    </font>
    <font>
      <sz val="11"/>
      <name val="Carlito"/>
    </font>
    <font>
      <b/>
      <sz val="11"/>
      <color rgb="FFFFFFFF"/>
      <name val="Carlito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5F91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1" fillId="0" borderId="0" xfId="1"/>
    <xf numFmtId="0" fontId="2" fillId="2" borderId="0" xfId="1" applyFont="1" applyFill="1" applyAlignment="1">
      <alignment horizontal="center" vertical="center" wrapText="1"/>
    </xf>
    <xf numFmtId="168" fontId="1" fillId="0" borderId="0" xfId="1" applyNumberFormat="1"/>
    <xf numFmtId="0" fontId="1" fillId="0" borderId="0" xfId="1"/>
    <xf numFmtId="0" fontId="2" fillId="2" borderId="0" xfId="1" applyFont="1" applyFill="1" applyAlignment="1">
      <alignment horizontal="center" vertical="center" wrapText="1"/>
    </xf>
    <xf numFmtId="168" fontId="1" fillId="0" borderId="0" xfId="1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Continuous"/>
    </xf>
  </cellXfs>
  <cellStyles count="2">
    <cellStyle name="Normal" xfId="0" builtinId="0"/>
    <cellStyle name="Normal 2" xfId="1" xr:uid="{6AE51ADE-1B7A-44C9-957F-E366F41347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E73EE-3747-4827-AFE0-DF0FAEE55B62}">
  <dimension ref="A1:N321"/>
  <sheetViews>
    <sheetView workbookViewId="0"/>
  </sheetViews>
  <sheetFormatPr defaultRowHeight="15"/>
  <cols>
    <col min="1" max="1" width="14.140625" customWidth="1"/>
    <col min="2" max="2" width="11.5703125" customWidth="1"/>
    <col min="3" max="3" width="11" customWidth="1"/>
    <col min="4" max="4" width="13.85546875" customWidth="1"/>
    <col min="5" max="5" width="12.5703125" customWidth="1"/>
    <col min="6" max="6" width="12.28515625" customWidth="1"/>
    <col min="7" max="7" width="18.7109375" customWidth="1"/>
    <col min="8" max="8" width="13.42578125" customWidth="1"/>
    <col min="9" max="9" width="17" customWidth="1"/>
    <col min="10" max="10" width="14" customWidth="1"/>
    <col min="11" max="11" width="11.7109375" customWidth="1"/>
    <col min="13" max="13" width="14.28515625" customWidth="1"/>
    <col min="14" max="14" width="19.7109375" customWidth="1"/>
  </cols>
  <sheetData>
    <row r="1" spans="1:14" ht="6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1" t="s">
        <v>14</v>
      </c>
      <c r="B2" s="3">
        <v>45658</v>
      </c>
      <c r="C2" s="1" t="s">
        <v>15</v>
      </c>
      <c r="D2" s="1" t="s">
        <v>16</v>
      </c>
      <c r="E2" s="1">
        <v>70389.11</v>
      </c>
      <c r="F2" s="1">
        <v>8302</v>
      </c>
      <c r="G2" s="1">
        <v>4.2000000000000003E-2</v>
      </c>
      <c r="H2" s="1">
        <v>17</v>
      </c>
      <c r="I2" s="1">
        <v>75</v>
      </c>
      <c r="J2" s="1">
        <v>5.28</v>
      </c>
      <c r="K2" s="1">
        <v>1</v>
      </c>
      <c r="L2" s="1">
        <v>3.1</v>
      </c>
      <c r="M2" s="1">
        <v>658832.62</v>
      </c>
      <c r="N2" s="1">
        <v>84349.93</v>
      </c>
    </row>
    <row r="3" spans="1:14">
      <c r="A3" s="1" t="s">
        <v>14</v>
      </c>
      <c r="B3" s="3">
        <v>45689</v>
      </c>
      <c r="C3" s="1" t="s">
        <v>15</v>
      </c>
      <c r="D3" s="1" t="s">
        <v>16</v>
      </c>
      <c r="E3" s="1">
        <v>43827.89</v>
      </c>
      <c r="F3" s="1">
        <v>8487</v>
      </c>
      <c r="G3" s="1">
        <v>0.16800000000000001</v>
      </c>
      <c r="H3" s="1">
        <v>23</v>
      </c>
      <c r="I3" s="1">
        <v>84.4</v>
      </c>
      <c r="J3" s="1">
        <v>4.3099999999999996</v>
      </c>
      <c r="K3" s="1">
        <v>0</v>
      </c>
      <c r="L3" s="1">
        <v>2.8</v>
      </c>
      <c r="M3" s="1">
        <v>634436</v>
      </c>
      <c r="N3" s="1">
        <v>106130.54</v>
      </c>
    </row>
    <row r="4" spans="1:14">
      <c r="A4" s="1" t="s">
        <v>14</v>
      </c>
      <c r="B4" s="3">
        <v>45717</v>
      </c>
      <c r="C4" s="1" t="s">
        <v>15</v>
      </c>
      <c r="D4" s="1" t="s">
        <v>16</v>
      </c>
      <c r="E4" s="1">
        <v>59921.75</v>
      </c>
      <c r="F4" s="1">
        <v>9113</v>
      </c>
      <c r="G4" s="1">
        <v>0.13300000000000001</v>
      </c>
      <c r="H4" s="1">
        <v>20</v>
      </c>
      <c r="I4" s="1">
        <v>88</v>
      </c>
      <c r="J4" s="1">
        <v>12</v>
      </c>
      <c r="K4" s="1">
        <v>0</v>
      </c>
      <c r="L4" s="1">
        <v>3.2</v>
      </c>
      <c r="M4" s="1">
        <v>678722.06</v>
      </c>
      <c r="N4" s="1">
        <v>101883.86</v>
      </c>
    </row>
    <row r="5" spans="1:14">
      <c r="A5" s="1" t="s">
        <v>14</v>
      </c>
      <c r="B5" s="3">
        <v>45748</v>
      </c>
      <c r="C5" s="1" t="s">
        <v>15</v>
      </c>
      <c r="D5" s="1" t="s">
        <v>16</v>
      </c>
      <c r="E5" s="1">
        <v>56856.63</v>
      </c>
      <c r="F5" s="1">
        <v>9431</v>
      </c>
      <c r="G5" s="1">
        <v>0.14199999999999999</v>
      </c>
      <c r="H5" s="1">
        <v>23</v>
      </c>
      <c r="I5" s="1">
        <v>86.9</v>
      </c>
      <c r="J5" s="1">
        <v>4.97</v>
      </c>
      <c r="K5" s="1">
        <v>0</v>
      </c>
      <c r="L5" s="1">
        <v>3.4</v>
      </c>
      <c r="M5" s="1">
        <v>658920.30000000005</v>
      </c>
      <c r="N5" s="1">
        <v>97910.37</v>
      </c>
    </row>
    <row r="6" spans="1:14">
      <c r="A6" s="1" t="s">
        <v>17</v>
      </c>
      <c r="B6" s="3">
        <v>45658</v>
      </c>
      <c r="C6" s="1" t="s">
        <v>15</v>
      </c>
      <c r="D6" s="1" t="s">
        <v>18</v>
      </c>
      <c r="E6" s="1">
        <v>48412.639999999999</v>
      </c>
      <c r="F6" s="1">
        <v>9545</v>
      </c>
      <c r="G6" s="1">
        <v>0.23100000000000001</v>
      </c>
      <c r="H6" s="1">
        <v>21</v>
      </c>
      <c r="I6" s="1">
        <v>97.6</v>
      </c>
      <c r="J6" s="1">
        <v>6.94</v>
      </c>
      <c r="K6" s="1">
        <v>1</v>
      </c>
      <c r="L6" s="1">
        <v>4.2</v>
      </c>
      <c r="M6" s="1">
        <v>741341.44</v>
      </c>
      <c r="N6" s="1">
        <v>119208.17</v>
      </c>
    </row>
    <row r="7" spans="1:14">
      <c r="A7" s="1" t="s">
        <v>17</v>
      </c>
      <c r="B7" s="3">
        <v>45689</v>
      </c>
      <c r="C7" s="1" t="s">
        <v>15</v>
      </c>
      <c r="D7" s="1" t="s">
        <v>18</v>
      </c>
      <c r="E7" s="1">
        <v>64811.21</v>
      </c>
      <c r="F7" s="1">
        <v>9792</v>
      </c>
      <c r="G7" s="1">
        <v>0.112</v>
      </c>
      <c r="H7" s="1">
        <v>20</v>
      </c>
      <c r="I7" s="1">
        <v>84.2</v>
      </c>
      <c r="J7" s="1">
        <v>2.88</v>
      </c>
      <c r="K7" s="1">
        <v>0</v>
      </c>
      <c r="L7" s="1">
        <v>4.2</v>
      </c>
      <c r="M7" s="1">
        <v>761835.34</v>
      </c>
      <c r="N7" s="1">
        <v>149602.23000000001</v>
      </c>
    </row>
    <row r="8" spans="1:14">
      <c r="A8" s="1" t="s">
        <v>17</v>
      </c>
      <c r="B8" s="3">
        <v>45717</v>
      </c>
      <c r="C8" s="1" t="s">
        <v>15</v>
      </c>
      <c r="D8" s="1" t="s">
        <v>18</v>
      </c>
      <c r="E8" s="1">
        <v>46213.45</v>
      </c>
      <c r="F8" s="1">
        <v>10616</v>
      </c>
      <c r="G8" s="1">
        <v>0.122</v>
      </c>
      <c r="H8" s="1">
        <v>22</v>
      </c>
      <c r="I8" s="1">
        <v>85.2</v>
      </c>
      <c r="J8" s="1">
        <v>0.2</v>
      </c>
      <c r="K8" s="1">
        <v>1</v>
      </c>
      <c r="L8" s="1">
        <v>4.0999999999999996</v>
      </c>
      <c r="M8" s="1">
        <v>806615.54</v>
      </c>
      <c r="N8" s="1">
        <v>131364.62</v>
      </c>
    </row>
    <row r="9" spans="1:14">
      <c r="A9" s="1" t="s">
        <v>17</v>
      </c>
      <c r="B9" s="3">
        <v>45748</v>
      </c>
      <c r="C9" s="1" t="s">
        <v>15</v>
      </c>
      <c r="D9" s="1" t="s">
        <v>18</v>
      </c>
      <c r="E9" s="1">
        <v>68148.52</v>
      </c>
      <c r="F9" s="1">
        <v>8567</v>
      </c>
      <c r="G9" s="1">
        <v>0.127</v>
      </c>
      <c r="H9" s="1">
        <v>23</v>
      </c>
      <c r="I9" s="1">
        <v>95.6</v>
      </c>
      <c r="J9" s="1">
        <v>0.8</v>
      </c>
      <c r="K9" s="1">
        <v>0</v>
      </c>
      <c r="L9" s="1">
        <v>3.9</v>
      </c>
      <c r="M9" s="1">
        <v>850164.26</v>
      </c>
      <c r="N9" s="1">
        <v>149262.75</v>
      </c>
    </row>
    <row r="10" spans="1:14">
      <c r="A10" s="1" t="s">
        <v>19</v>
      </c>
      <c r="B10" s="3">
        <v>45658</v>
      </c>
      <c r="C10" s="1" t="s">
        <v>20</v>
      </c>
      <c r="D10" s="1" t="s">
        <v>21</v>
      </c>
      <c r="E10" s="1">
        <v>71838.86</v>
      </c>
      <c r="F10" s="1">
        <v>10979</v>
      </c>
      <c r="G10" s="1">
        <v>0.215</v>
      </c>
      <c r="H10" s="1">
        <v>26</v>
      </c>
      <c r="I10" s="1">
        <v>88.6</v>
      </c>
      <c r="J10" s="1">
        <v>7.7</v>
      </c>
      <c r="K10" s="1">
        <v>1</v>
      </c>
      <c r="L10" s="1">
        <v>3.8</v>
      </c>
      <c r="M10" s="1">
        <v>930581.7</v>
      </c>
      <c r="N10" s="1">
        <v>136207.98000000001</v>
      </c>
    </row>
    <row r="11" spans="1:14">
      <c r="A11" s="1" t="s">
        <v>19</v>
      </c>
      <c r="B11" s="3">
        <v>45689</v>
      </c>
      <c r="C11" s="1" t="s">
        <v>20</v>
      </c>
      <c r="D11" s="1" t="s">
        <v>21</v>
      </c>
      <c r="E11" s="1">
        <v>68133.440000000002</v>
      </c>
      <c r="F11" s="1">
        <v>9459</v>
      </c>
      <c r="G11" s="1">
        <v>0.22</v>
      </c>
      <c r="H11" s="1">
        <v>21</v>
      </c>
      <c r="I11" s="1">
        <v>85</v>
      </c>
      <c r="J11" s="1">
        <v>1.91</v>
      </c>
      <c r="K11" s="1">
        <v>0</v>
      </c>
      <c r="L11" s="1">
        <v>4.2</v>
      </c>
      <c r="M11" s="1">
        <v>779010.94</v>
      </c>
      <c r="N11" s="1">
        <v>106328.09</v>
      </c>
    </row>
    <row r="12" spans="1:14">
      <c r="A12" s="1" t="s">
        <v>19</v>
      </c>
      <c r="B12" s="3">
        <v>45717</v>
      </c>
      <c r="C12" s="1" t="s">
        <v>20</v>
      </c>
      <c r="D12" s="1" t="s">
        <v>21</v>
      </c>
      <c r="E12" s="1">
        <v>34285.21</v>
      </c>
      <c r="F12" s="1">
        <v>9172</v>
      </c>
      <c r="G12" s="1">
        <v>0.21299999999999999</v>
      </c>
      <c r="H12" s="1">
        <v>22</v>
      </c>
      <c r="I12" s="1">
        <v>88.3</v>
      </c>
      <c r="J12" s="1">
        <v>10.46</v>
      </c>
      <c r="K12" s="1">
        <v>1</v>
      </c>
      <c r="L12" s="1">
        <v>3.8</v>
      </c>
      <c r="M12" s="1">
        <v>723060.76</v>
      </c>
      <c r="N12" s="1">
        <v>123131.24</v>
      </c>
    </row>
    <row r="13" spans="1:14">
      <c r="A13" s="1" t="s">
        <v>19</v>
      </c>
      <c r="B13" s="3">
        <v>45748</v>
      </c>
      <c r="C13" s="1" t="s">
        <v>20</v>
      </c>
      <c r="D13" s="1" t="s">
        <v>21</v>
      </c>
      <c r="E13" s="1">
        <v>67979.88</v>
      </c>
      <c r="F13" s="1">
        <v>11230</v>
      </c>
      <c r="G13" s="1">
        <v>2E-3</v>
      </c>
      <c r="H13" s="1">
        <v>28</v>
      </c>
      <c r="I13" s="1">
        <v>85.3</v>
      </c>
      <c r="J13" s="1">
        <v>7.16</v>
      </c>
      <c r="K13" s="1">
        <v>0</v>
      </c>
      <c r="L13" s="1">
        <v>3.8</v>
      </c>
      <c r="M13" s="1">
        <v>910791.94</v>
      </c>
      <c r="N13" s="1">
        <v>158891.28</v>
      </c>
    </row>
    <row r="14" spans="1:14">
      <c r="A14" s="1" t="s">
        <v>22</v>
      </c>
      <c r="B14" s="3">
        <v>45658</v>
      </c>
      <c r="C14" s="1" t="s">
        <v>15</v>
      </c>
      <c r="D14" s="1" t="s">
        <v>16</v>
      </c>
      <c r="E14" s="1">
        <v>71828.259999999995</v>
      </c>
      <c r="F14" s="1">
        <v>12775</v>
      </c>
      <c r="G14" s="1">
        <v>0.11600000000000001</v>
      </c>
      <c r="H14" s="1">
        <v>30</v>
      </c>
      <c r="I14" s="1">
        <v>81.7</v>
      </c>
      <c r="J14" s="1">
        <v>4.24</v>
      </c>
      <c r="K14" s="1">
        <v>1</v>
      </c>
      <c r="L14" s="1">
        <v>4.2</v>
      </c>
      <c r="M14" s="1">
        <v>922168.6</v>
      </c>
      <c r="N14" s="1">
        <v>107494.53</v>
      </c>
    </row>
    <row r="15" spans="1:14">
      <c r="A15" s="1" t="s">
        <v>22</v>
      </c>
      <c r="B15" s="3">
        <v>45689</v>
      </c>
      <c r="C15" s="1" t="s">
        <v>15</v>
      </c>
      <c r="D15" s="1" t="s">
        <v>16</v>
      </c>
      <c r="E15" s="1">
        <v>55716.82</v>
      </c>
      <c r="F15" s="1">
        <v>10054</v>
      </c>
      <c r="G15" s="1">
        <v>0.14599999999999999</v>
      </c>
      <c r="H15" s="1">
        <v>24</v>
      </c>
      <c r="I15" s="1">
        <v>84.9</v>
      </c>
      <c r="J15" s="1">
        <v>1.06</v>
      </c>
      <c r="K15" s="1">
        <v>0</v>
      </c>
      <c r="L15" s="1">
        <v>4.3</v>
      </c>
      <c r="M15" s="1">
        <v>726606.28</v>
      </c>
      <c r="N15" s="1">
        <v>122729.29</v>
      </c>
    </row>
    <row r="16" spans="1:14">
      <c r="A16" s="1" t="s">
        <v>22</v>
      </c>
      <c r="B16" s="3">
        <v>45717</v>
      </c>
      <c r="C16" s="1" t="s">
        <v>15</v>
      </c>
      <c r="D16" s="1" t="s">
        <v>16</v>
      </c>
      <c r="E16" s="1">
        <v>59909.51</v>
      </c>
      <c r="F16" s="1">
        <v>8895</v>
      </c>
      <c r="G16" s="1">
        <v>0.22800000000000001</v>
      </c>
      <c r="H16" s="1">
        <v>23</v>
      </c>
      <c r="I16" s="1">
        <v>88.8</v>
      </c>
      <c r="J16" s="1">
        <v>0.27</v>
      </c>
      <c r="K16" s="1">
        <v>0</v>
      </c>
      <c r="L16" s="1">
        <v>4.3</v>
      </c>
      <c r="M16" s="1">
        <v>746501.09</v>
      </c>
      <c r="N16" s="1">
        <v>136816.72</v>
      </c>
    </row>
    <row r="17" spans="1:14">
      <c r="A17" s="1" t="s">
        <v>22</v>
      </c>
      <c r="B17" s="3">
        <v>45748</v>
      </c>
      <c r="C17" s="1" t="s">
        <v>15</v>
      </c>
      <c r="D17" s="1" t="s">
        <v>16</v>
      </c>
      <c r="E17" s="1">
        <v>75305.710000000006</v>
      </c>
      <c r="F17" s="1">
        <v>10940</v>
      </c>
      <c r="G17" s="1">
        <v>6.0000000000000001E-3</v>
      </c>
      <c r="H17" s="1">
        <v>26</v>
      </c>
      <c r="I17" s="1">
        <v>76.5</v>
      </c>
      <c r="J17" s="1">
        <v>1.32</v>
      </c>
      <c r="K17" s="1">
        <v>0</v>
      </c>
      <c r="L17" s="1">
        <v>4.5</v>
      </c>
      <c r="M17" s="1">
        <v>834017.02</v>
      </c>
      <c r="N17" s="1">
        <v>114745.03</v>
      </c>
    </row>
    <row r="18" spans="1:14">
      <c r="A18" s="1" t="s">
        <v>23</v>
      </c>
      <c r="B18" s="3">
        <v>45658</v>
      </c>
      <c r="C18" s="1" t="s">
        <v>24</v>
      </c>
      <c r="D18" s="1" t="s">
        <v>16</v>
      </c>
      <c r="E18" s="1">
        <v>48804.22</v>
      </c>
      <c r="F18" s="1">
        <v>7057</v>
      </c>
      <c r="G18" s="1">
        <v>5.0000000000000001E-3</v>
      </c>
      <c r="H18" s="1">
        <v>15</v>
      </c>
      <c r="I18" s="1">
        <v>87.7</v>
      </c>
      <c r="J18" s="1">
        <v>1.22</v>
      </c>
      <c r="K18" s="1">
        <v>0</v>
      </c>
      <c r="L18" s="1">
        <v>3.7</v>
      </c>
      <c r="M18" s="1">
        <v>666152.52</v>
      </c>
      <c r="N18" s="1">
        <v>107490.58</v>
      </c>
    </row>
    <row r="19" spans="1:14">
      <c r="A19" s="1" t="s">
        <v>23</v>
      </c>
      <c r="B19" s="3">
        <v>45689</v>
      </c>
      <c r="C19" s="1" t="s">
        <v>24</v>
      </c>
      <c r="D19" s="1" t="s">
        <v>16</v>
      </c>
      <c r="E19" s="1">
        <v>59117.9</v>
      </c>
      <c r="F19" s="1">
        <v>4263</v>
      </c>
      <c r="G19" s="1">
        <v>0.11899999999999999</v>
      </c>
      <c r="H19" s="1">
        <v>9</v>
      </c>
      <c r="I19" s="1">
        <v>87.6</v>
      </c>
      <c r="J19" s="1">
        <v>4.01</v>
      </c>
      <c r="K19" s="1">
        <v>0</v>
      </c>
      <c r="L19" s="1">
        <v>3.6</v>
      </c>
      <c r="M19" s="1">
        <v>573155.18999999994</v>
      </c>
      <c r="N19" s="1">
        <v>83680.75</v>
      </c>
    </row>
    <row r="20" spans="1:14">
      <c r="A20" s="1" t="s">
        <v>23</v>
      </c>
      <c r="B20" s="3">
        <v>45717</v>
      </c>
      <c r="C20" s="1" t="s">
        <v>24</v>
      </c>
      <c r="D20" s="1" t="s">
        <v>16</v>
      </c>
      <c r="E20" s="1">
        <v>78831.12</v>
      </c>
      <c r="F20" s="1">
        <v>5538</v>
      </c>
      <c r="G20" s="1">
        <v>0</v>
      </c>
      <c r="H20" s="1">
        <v>15</v>
      </c>
      <c r="I20" s="1">
        <v>94.1</v>
      </c>
      <c r="J20" s="1">
        <v>0.2</v>
      </c>
      <c r="K20" s="1">
        <v>0</v>
      </c>
      <c r="L20" s="1">
        <v>3.9</v>
      </c>
      <c r="M20" s="1">
        <v>666573.19999999995</v>
      </c>
      <c r="N20" s="1">
        <v>140641.01999999999</v>
      </c>
    </row>
    <row r="21" spans="1:14">
      <c r="A21" s="1" t="s">
        <v>23</v>
      </c>
      <c r="B21" s="3">
        <v>45748</v>
      </c>
      <c r="C21" s="1" t="s">
        <v>24</v>
      </c>
      <c r="D21" s="1" t="s">
        <v>16</v>
      </c>
      <c r="E21" s="1">
        <v>41441.93</v>
      </c>
      <c r="F21" s="1">
        <v>4865</v>
      </c>
      <c r="G21" s="1">
        <v>0.158</v>
      </c>
      <c r="H21" s="1">
        <v>16</v>
      </c>
      <c r="I21" s="1">
        <v>88.3</v>
      </c>
      <c r="J21" s="1">
        <v>0.5</v>
      </c>
      <c r="K21" s="1">
        <v>0</v>
      </c>
      <c r="L21" s="1">
        <v>4</v>
      </c>
      <c r="M21" s="1">
        <v>591619.94999999995</v>
      </c>
      <c r="N21" s="1">
        <v>99521.35</v>
      </c>
    </row>
    <row r="22" spans="1:14">
      <c r="A22" s="1" t="s">
        <v>25</v>
      </c>
      <c r="B22" s="3">
        <v>45658</v>
      </c>
      <c r="C22" s="1" t="s">
        <v>20</v>
      </c>
      <c r="D22" s="1" t="s">
        <v>16</v>
      </c>
      <c r="E22" s="1">
        <v>30356.28</v>
      </c>
      <c r="F22" s="1">
        <v>2822</v>
      </c>
      <c r="G22" s="1">
        <v>0.23100000000000001</v>
      </c>
      <c r="H22" s="1">
        <v>9</v>
      </c>
      <c r="I22" s="1">
        <v>84.8</v>
      </c>
      <c r="J22" s="1">
        <v>6.95</v>
      </c>
      <c r="K22" s="1">
        <v>0</v>
      </c>
      <c r="L22" s="1">
        <v>5</v>
      </c>
      <c r="M22" s="1">
        <v>415721.82</v>
      </c>
      <c r="N22" s="1">
        <v>61179.15</v>
      </c>
    </row>
    <row r="23" spans="1:14">
      <c r="A23" s="1" t="s">
        <v>25</v>
      </c>
      <c r="B23" s="3">
        <v>45689</v>
      </c>
      <c r="C23" s="1" t="s">
        <v>20</v>
      </c>
      <c r="D23" s="1" t="s">
        <v>16</v>
      </c>
      <c r="E23" s="1">
        <v>33518.879999999997</v>
      </c>
      <c r="F23" s="1">
        <v>2121</v>
      </c>
      <c r="G23" s="1">
        <v>0.17599999999999999</v>
      </c>
      <c r="H23" s="1">
        <v>8</v>
      </c>
      <c r="I23" s="1">
        <v>88.5</v>
      </c>
      <c r="J23" s="1">
        <v>0.2</v>
      </c>
      <c r="K23" s="1">
        <v>0</v>
      </c>
      <c r="L23" s="1">
        <v>5</v>
      </c>
      <c r="M23" s="1">
        <v>491905.13</v>
      </c>
      <c r="N23" s="1">
        <v>79212.259999999995</v>
      </c>
    </row>
    <row r="24" spans="1:14">
      <c r="A24" s="1" t="s">
        <v>25</v>
      </c>
      <c r="B24" s="3">
        <v>45717</v>
      </c>
      <c r="C24" s="1" t="s">
        <v>20</v>
      </c>
      <c r="D24" s="1" t="s">
        <v>16</v>
      </c>
      <c r="E24" s="1">
        <v>42267.37</v>
      </c>
      <c r="F24" s="1">
        <v>3364</v>
      </c>
      <c r="G24" s="1">
        <v>0.16</v>
      </c>
      <c r="H24" s="1">
        <v>13</v>
      </c>
      <c r="I24" s="1">
        <v>82</v>
      </c>
      <c r="J24" s="1">
        <v>1.61</v>
      </c>
      <c r="K24" s="1">
        <v>1</v>
      </c>
      <c r="L24" s="1">
        <v>4.5999999999999996</v>
      </c>
      <c r="M24" s="1">
        <v>555929.4</v>
      </c>
      <c r="N24" s="1">
        <v>115201.76</v>
      </c>
    </row>
    <row r="25" spans="1:14">
      <c r="A25" s="1" t="s">
        <v>25</v>
      </c>
      <c r="B25" s="3">
        <v>45748</v>
      </c>
      <c r="C25" s="1" t="s">
        <v>20</v>
      </c>
      <c r="D25" s="1" t="s">
        <v>16</v>
      </c>
      <c r="E25" s="1">
        <v>62060.43</v>
      </c>
      <c r="F25" s="1">
        <v>2613</v>
      </c>
      <c r="G25" s="1">
        <v>0.216</v>
      </c>
      <c r="H25" s="1">
        <v>12</v>
      </c>
      <c r="I25" s="1">
        <v>92.1</v>
      </c>
      <c r="J25" s="1">
        <v>1.55</v>
      </c>
      <c r="K25" s="1">
        <v>0</v>
      </c>
      <c r="L25" s="1">
        <v>4.7</v>
      </c>
      <c r="M25" s="1">
        <v>565810.99</v>
      </c>
      <c r="N25" s="1">
        <v>77825.460000000006</v>
      </c>
    </row>
    <row r="26" spans="1:14">
      <c r="A26" s="1" t="s">
        <v>26</v>
      </c>
      <c r="B26" s="3">
        <v>45658</v>
      </c>
      <c r="C26" s="1" t="s">
        <v>27</v>
      </c>
      <c r="D26" s="1" t="s">
        <v>28</v>
      </c>
      <c r="E26" s="1">
        <v>57696.69</v>
      </c>
      <c r="F26" s="1">
        <v>10218</v>
      </c>
      <c r="G26" s="1">
        <v>0.121</v>
      </c>
      <c r="H26" s="1">
        <v>25</v>
      </c>
      <c r="I26" s="1">
        <v>94.8</v>
      </c>
      <c r="J26" s="1">
        <v>2.99</v>
      </c>
      <c r="K26" s="1">
        <v>0</v>
      </c>
      <c r="L26" s="1">
        <v>3.5</v>
      </c>
      <c r="M26" s="1">
        <v>811771.14</v>
      </c>
      <c r="N26" s="1">
        <v>148756.24</v>
      </c>
    </row>
    <row r="27" spans="1:14">
      <c r="A27" s="1" t="s">
        <v>26</v>
      </c>
      <c r="B27" s="3">
        <v>45689</v>
      </c>
      <c r="C27" s="1" t="s">
        <v>27</v>
      </c>
      <c r="D27" s="1" t="s">
        <v>28</v>
      </c>
      <c r="E27" s="1">
        <v>172415.52</v>
      </c>
      <c r="F27" s="1">
        <v>8927</v>
      </c>
      <c r="G27" s="1">
        <v>0.14000000000000001</v>
      </c>
      <c r="H27" s="1">
        <v>22</v>
      </c>
      <c r="I27" s="1">
        <v>86.2</v>
      </c>
      <c r="J27" s="1">
        <v>7.04</v>
      </c>
      <c r="K27" s="1">
        <v>0</v>
      </c>
      <c r="L27" s="1">
        <v>3.9</v>
      </c>
      <c r="M27" s="1">
        <v>800451.94</v>
      </c>
      <c r="N27" s="1">
        <v>111572.29</v>
      </c>
    </row>
    <row r="28" spans="1:14">
      <c r="A28" s="1" t="s">
        <v>26</v>
      </c>
      <c r="B28" s="3">
        <v>45717</v>
      </c>
      <c r="C28" s="1" t="s">
        <v>27</v>
      </c>
      <c r="D28" s="1" t="s">
        <v>28</v>
      </c>
      <c r="E28" s="1">
        <v>55270.52</v>
      </c>
      <c r="F28" s="1">
        <v>9315</v>
      </c>
      <c r="G28" s="1">
        <v>0.16900000000000001</v>
      </c>
      <c r="H28" s="1">
        <v>23</v>
      </c>
      <c r="I28" s="1">
        <v>91.9</v>
      </c>
      <c r="J28" s="1">
        <v>4.9400000000000004</v>
      </c>
      <c r="K28" s="1">
        <v>0</v>
      </c>
      <c r="L28" s="1">
        <v>4</v>
      </c>
      <c r="M28" s="1">
        <v>783672.82</v>
      </c>
      <c r="N28" s="1">
        <v>112577.14</v>
      </c>
    </row>
    <row r="29" spans="1:14">
      <c r="A29" s="1" t="s">
        <v>26</v>
      </c>
      <c r="B29" s="3">
        <v>45748</v>
      </c>
      <c r="C29" s="1" t="s">
        <v>27</v>
      </c>
      <c r="D29" s="1" t="s">
        <v>28</v>
      </c>
      <c r="E29" s="1">
        <v>52715.1</v>
      </c>
      <c r="F29" s="1">
        <v>7223</v>
      </c>
      <c r="G29" s="1">
        <v>0.122</v>
      </c>
      <c r="H29" s="1">
        <v>16</v>
      </c>
      <c r="I29" s="1">
        <v>84.2</v>
      </c>
      <c r="J29" s="1">
        <v>16.149999999999999</v>
      </c>
      <c r="K29" s="1">
        <v>0</v>
      </c>
      <c r="L29" s="1">
        <v>3.7</v>
      </c>
      <c r="M29" s="1">
        <v>701641.97</v>
      </c>
      <c r="N29" s="1">
        <v>106111.86</v>
      </c>
    </row>
    <row r="30" spans="1:14">
      <c r="A30" s="1" t="s">
        <v>29</v>
      </c>
      <c r="B30" s="3">
        <v>45658</v>
      </c>
      <c r="C30" s="1" t="s">
        <v>15</v>
      </c>
      <c r="D30" s="1" t="s">
        <v>16</v>
      </c>
      <c r="E30" s="1">
        <v>68600.62</v>
      </c>
      <c r="F30" s="1">
        <v>3988</v>
      </c>
      <c r="G30" s="1">
        <v>0.124</v>
      </c>
      <c r="H30" s="1">
        <v>11</v>
      </c>
      <c r="I30" s="1">
        <v>85</v>
      </c>
      <c r="J30" s="1">
        <v>0.48</v>
      </c>
      <c r="K30" s="1">
        <v>0</v>
      </c>
      <c r="L30" s="1">
        <v>3.6</v>
      </c>
      <c r="M30" s="1">
        <v>511844.41</v>
      </c>
      <c r="N30" s="1">
        <v>72774.44</v>
      </c>
    </row>
    <row r="31" spans="1:14">
      <c r="A31" s="1" t="s">
        <v>29</v>
      </c>
      <c r="B31" s="3">
        <v>45689</v>
      </c>
      <c r="C31" s="1" t="s">
        <v>15</v>
      </c>
      <c r="D31" s="1" t="s">
        <v>16</v>
      </c>
      <c r="E31" s="1">
        <v>63176.73</v>
      </c>
      <c r="F31" s="1">
        <v>2390</v>
      </c>
      <c r="G31" s="1">
        <v>0.216</v>
      </c>
      <c r="H31" s="1">
        <v>9</v>
      </c>
      <c r="I31" s="1">
        <v>87.5</v>
      </c>
      <c r="J31" s="1">
        <v>0.31</v>
      </c>
      <c r="K31" s="1">
        <v>0</v>
      </c>
      <c r="L31" s="1">
        <v>3.1</v>
      </c>
      <c r="M31" s="1">
        <v>537383.79</v>
      </c>
      <c r="N31" s="1">
        <v>63773.27</v>
      </c>
    </row>
    <row r="32" spans="1:14">
      <c r="A32" s="1" t="s">
        <v>29</v>
      </c>
      <c r="B32" s="3">
        <v>45717</v>
      </c>
      <c r="C32" s="1" t="s">
        <v>15</v>
      </c>
      <c r="D32" s="1" t="s">
        <v>16</v>
      </c>
      <c r="E32" s="1">
        <v>44970.080000000002</v>
      </c>
      <c r="F32" s="1">
        <v>2471</v>
      </c>
      <c r="G32" s="1">
        <v>0.13600000000000001</v>
      </c>
      <c r="H32" s="1">
        <v>11</v>
      </c>
      <c r="I32" s="1">
        <v>87.6</v>
      </c>
      <c r="J32" s="1">
        <v>3.01</v>
      </c>
      <c r="K32" s="1">
        <v>1</v>
      </c>
      <c r="L32" s="1">
        <v>3.7</v>
      </c>
      <c r="M32" s="1">
        <v>500173.02</v>
      </c>
      <c r="N32" s="1">
        <v>70982.05</v>
      </c>
    </row>
    <row r="33" spans="1:14">
      <c r="A33" s="1" t="s">
        <v>29</v>
      </c>
      <c r="B33" s="3">
        <v>45748</v>
      </c>
      <c r="C33" s="1" t="s">
        <v>15</v>
      </c>
      <c r="D33" s="1" t="s">
        <v>16</v>
      </c>
      <c r="E33" s="1">
        <v>69816.350000000006</v>
      </c>
      <c r="F33" s="1">
        <v>971</v>
      </c>
      <c r="G33" s="1">
        <v>0.16800000000000001</v>
      </c>
      <c r="H33" s="1">
        <v>5</v>
      </c>
      <c r="I33" s="1">
        <v>89.9</v>
      </c>
      <c r="J33" s="1">
        <v>12.15</v>
      </c>
      <c r="K33" s="1">
        <v>0</v>
      </c>
      <c r="L33" s="1">
        <v>3.6</v>
      </c>
      <c r="M33" s="1">
        <v>427917.38</v>
      </c>
      <c r="N33" s="1">
        <v>81824.31</v>
      </c>
    </row>
    <row r="34" spans="1:14">
      <c r="A34" s="1" t="s">
        <v>30</v>
      </c>
      <c r="B34" s="3">
        <v>45658</v>
      </c>
      <c r="C34" s="1" t="s">
        <v>20</v>
      </c>
      <c r="D34" s="1" t="s">
        <v>16</v>
      </c>
      <c r="E34" s="1">
        <v>54597.83</v>
      </c>
      <c r="F34" s="1">
        <v>9429</v>
      </c>
      <c r="G34" s="1">
        <v>0.188</v>
      </c>
      <c r="H34" s="1">
        <v>21</v>
      </c>
      <c r="I34" s="1">
        <v>83.3</v>
      </c>
      <c r="J34" s="1">
        <v>11.71</v>
      </c>
      <c r="K34" s="1">
        <v>0</v>
      </c>
      <c r="L34" s="1">
        <v>4.2</v>
      </c>
      <c r="M34" s="1">
        <v>641865.03</v>
      </c>
      <c r="N34" s="1">
        <v>81342.58</v>
      </c>
    </row>
    <row r="35" spans="1:14">
      <c r="A35" s="1" t="s">
        <v>30</v>
      </c>
      <c r="B35" s="3">
        <v>45689</v>
      </c>
      <c r="C35" s="1" t="s">
        <v>20</v>
      </c>
      <c r="D35" s="1" t="s">
        <v>16</v>
      </c>
      <c r="E35" s="1">
        <v>73771.91</v>
      </c>
      <c r="F35" s="1">
        <v>11695</v>
      </c>
      <c r="G35" s="1">
        <v>7.0000000000000007E-2</v>
      </c>
      <c r="H35" s="1">
        <v>25</v>
      </c>
      <c r="I35" s="1">
        <v>84.7</v>
      </c>
      <c r="J35" s="1">
        <v>0.62</v>
      </c>
      <c r="K35" s="1">
        <v>0</v>
      </c>
      <c r="L35" s="1"/>
      <c r="M35" s="1">
        <v>799477.76000000001</v>
      </c>
      <c r="N35" s="1">
        <v>164974.41</v>
      </c>
    </row>
    <row r="36" spans="1:14">
      <c r="A36" s="1" t="s">
        <v>30</v>
      </c>
      <c r="B36" s="3">
        <v>45717</v>
      </c>
      <c r="C36" s="1" t="s">
        <v>20</v>
      </c>
      <c r="D36" s="1" t="s">
        <v>16</v>
      </c>
      <c r="E36" s="1">
        <v>74413.88</v>
      </c>
      <c r="F36" s="1">
        <v>9449</v>
      </c>
      <c r="G36" s="1">
        <v>3.9E-2</v>
      </c>
      <c r="H36" s="1">
        <v>23</v>
      </c>
      <c r="I36" s="1">
        <v>92.1</v>
      </c>
      <c r="J36" s="1">
        <v>2.12</v>
      </c>
      <c r="K36" s="1">
        <v>0</v>
      </c>
      <c r="L36" s="1">
        <v>3.5</v>
      </c>
      <c r="M36" s="1">
        <v>798952.17</v>
      </c>
      <c r="N36" s="1">
        <v>161499.04</v>
      </c>
    </row>
    <row r="37" spans="1:14">
      <c r="A37" s="1" t="s">
        <v>30</v>
      </c>
      <c r="B37" s="3">
        <v>45748</v>
      </c>
      <c r="C37" s="1" t="s">
        <v>20</v>
      </c>
      <c r="D37" s="1" t="s">
        <v>16</v>
      </c>
      <c r="E37" s="1">
        <v>52483.77</v>
      </c>
      <c r="F37" s="1">
        <v>10453</v>
      </c>
      <c r="G37" s="1">
        <v>0.247</v>
      </c>
      <c r="H37" s="1">
        <v>25</v>
      </c>
      <c r="I37" s="1">
        <v>99</v>
      </c>
      <c r="J37" s="1">
        <v>6.31</v>
      </c>
      <c r="K37" s="1">
        <v>0</v>
      </c>
      <c r="L37" s="1">
        <v>3.6</v>
      </c>
      <c r="M37" s="1">
        <v>800979.78</v>
      </c>
      <c r="N37" s="1">
        <v>149242.26999999999</v>
      </c>
    </row>
    <row r="38" spans="1:14">
      <c r="A38" s="1" t="s">
        <v>31</v>
      </c>
      <c r="B38" s="3">
        <v>45658</v>
      </c>
      <c r="C38" s="1" t="s">
        <v>20</v>
      </c>
      <c r="D38" s="1" t="s">
        <v>28</v>
      </c>
      <c r="E38" s="1">
        <v>75269.87</v>
      </c>
      <c r="F38" s="1">
        <v>8838</v>
      </c>
      <c r="G38" s="1">
        <v>9.1999999999999998E-2</v>
      </c>
      <c r="H38" s="1">
        <v>21</v>
      </c>
      <c r="I38" s="1">
        <v>83.1</v>
      </c>
      <c r="J38" s="1">
        <v>9.56</v>
      </c>
      <c r="K38" s="1">
        <v>1</v>
      </c>
      <c r="L38" s="1">
        <v>4.2</v>
      </c>
      <c r="M38" s="1">
        <v>820593.93</v>
      </c>
      <c r="N38" s="1">
        <v>115860.06</v>
      </c>
    </row>
    <row r="39" spans="1:14">
      <c r="A39" s="1" t="s">
        <v>31</v>
      </c>
      <c r="B39" s="3">
        <v>45689</v>
      </c>
      <c r="C39" s="1" t="s">
        <v>20</v>
      </c>
      <c r="D39" s="1" t="s">
        <v>28</v>
      </c>
      <c r="E39" s="1">
        <v>61245.41</v>
      </c>
      <c r="F39" s="1">
        <v>8156</v>
      </c>
      <c r="G39" s="1">
        <v>0.156</v>
      </c>
      <c r="H39" s="1">
        <v>19</v>
      </c>
      <c r="I39" s="1">
        <v>92.9</v>
      </c>
      <c r="J39" s="1">
        <v>9.0500000000000007</v>
      </c>
      <c r="K39" s="1">
        <v>0</v>
      </c>
      <c r="L39" s="1">
        <v>3.8</v>
      </c>
      <c r="M39" s="1">
        <v>718330.53</v>
      </c>
      <c r="N39" s="1">
        <v>93247.9</v>
      </c>
    </row>
    <row r="40" spans="1:14">
      <c r="A40" s="1" t="s">
        <v>31</v>
      </c>
      <c r="B40" s="3">
        <v>45717</v>
      </c>
      <c r="C40" s="1" t="s">
        <v>20</v>
      </c>
      <c r="D40" s="1" t="s">
        <v>28</v>
      </c>
      <c r="E40" s="1">
        <v>93381.26</v>
      </c>
      <c r="F40" s="1">
        <v>7562</v>
      </c>
      <c r="G40" s="1">
        <v>0.19800000000000001</v>
      </c>
      <c r="H40" s="1">
        <v>19</v>
      </c>
      <c r="I40" s="1">
        <v>82.9</v>
      </c>
      <c r="J40" s="1">
        <v>5.05</v>
      </c>
      <c r="K40" s="1">
        <v>0</v>
      </c>
      <c r="L40" s="1">
        <v>4</v>
      </c>
      <c r="M40" s="1">
        <v>736633.4</v>
      </c>
      <c r="N40" s="1">
        <v>115654.66</v>
      </c>
    </row>
    <row r="41" spans="1:14">
      <c r="A41" s="1" t="s">
        <v>31</v>
      </c>
      <c r="B41" s="3">
        <v>45748</v>
      </c>
      <c r="C41" s="1" t="s">
        <v>20</v>
      </c>
      <c r="D41" s="1" t="s">
        <v>28</v>
      </c>
      <c r="E41" s="1">
        <v>65012.19</v>
      </c>
      <c r="F41" s="1">
        <v>9598</v>
      </c>
      <c r="G41" s="1">
        <v>8.5000000000000006E-2</v>
      </c>
      <c r="H41" s="1">
        <v>24</v>
      </c>
      <c r="I41" s="1">
        <v>98.3</v>
      </c>
      <c r="J41" s="1">
        <v>0.89</v>
      </c>
      <c r="K41" s="1">
        <v>0</v>
      </c>
      <c r="L41" s="1">
        <v>3.8</v>
      </c>
      <c r="M41" s="1">
        <v>828623.85</v>
      </c>
      <c r="N41" s="1">
        <v>167320.51999999999</v>
      </c>
    </row>
    <row r="42" spans="1:14">
      <c r="A42" s="1" t="s">
        <v>32</v>
      </c>
      <c r="B42" s="3">
        <v>45658</v>
      </c>
      <c r="C42" s="1" t="s">
        <v>15</v>
      </c>
      <c r="D42" s="1" t="s">
        <v>28</v>
      </c>
      <c r="E42" s="1">
        <v>40462.94</v>
      </c>
      <c r="F42" s="1">
        <v>3660</v>
      </c>
      <c r="G42" s="1">
        <v>0.218</v>
      </c>
      <c r="H42" s="1">
        <v>11</v>
      </c>
      <c r="I42" s="1">
        <v>95.2</v>
      </c>
      <c r="J42" s="1">
        <v>5.57</v>
      </c>
      <c r="K42" s="1">
        <v>0</v>
      </c>
      <c r="L42" s="1">
        <v>4.4000000000000004</v>
      </c>
      <c r="M42" s="1">
        <v>592195.85</v>
      </c>
      <c r="N42" s="1">
        <v>92291.56</v>
      </c>
    </row>
    <row r="43" spans="1:14">
      <c r="A43" s="1" t="s">
        <v>32</v>
      </c>
      <c r="B43" s="3">
        <v>45689</v>
      </c>
      <c r="C43" s="1" t="s">
        <v>15</v>
      </c>
      <c r="D43" s="1" t="s">
        <v>28</v>
      </c>
      <c r="E43" s="1">
        <v>46123.88</v>
      </c>
      <c r="F43" s="1">
        <v>3227</v>
      </c>
      <c r="G43" s="1">
        <v>0.14299999999999999</v>
      </c>
      <c r="H43" s="1">
        <v>10</v>
      </c>
      <c r="I43" s="1">
        <v>75.400000000000006</v>
      </c>
      <c r="J43" s="1">
        <v>1.06</v>
      </c>
      <c r="K43" s="1">
        <v>0</v>
      </c>
      <c r="L43" s="1">
        <v>4.4000000000000004</v>
      </c>
      <c r="M43" s="1">
        <v>532644.46</v>
      </c>
      <c r="N43" s="1">
        <v>60681.32</v>
      </c>
    </row>
    <row r="44" spans="1:14">
      <c r="A44" s="1" t="s">
        <v>32</v>
      </c>
      <c r="B44" s="3">
        <v>45717</v>
      </c>
      <c r="C44" s="1" t="s">
        <v>15</v>
      </c>
      <c r="D44" s="1" t="s">
        <v>28</v>
      </c>
      <c r="E44" s="1">
        <v>68077.539999999994</v>
      </c>
      <c r="F44" s="1">
        <v>3360</v>
      </c>
      <c r="G44" s="1">
        <v>0.128</v>
      </c>
      <c r="H44" s="1">
        <v>14</v>
      </c>
      <c r="I44" s="1">
        <v>88.2</v>
      </c>
      <c r="J44" s="1">
        <v>1.24</v>
      </c>
      <c r="K44" s="1">
        <v>1</v>
      </c>
      <c r="L44" s="1">
        <v>4</v>
      </c>
      <c r="M44" s="1">
        <v>657429.18000000005</v>
      </c>
      <c r="N44" s="1">
        <v>88919.74</v>
      </c>
    </row>
    <row r="45" spans="1:14">
      <c r="A45" s="1" t="s">
        <v>32</v>
      </c>
      <c r="B45" s="3">
        <v>45748</v>
      </c>
      <c r="C45" s="1" t="s">
        <v>15</v>
      </c>
      <c r="D45" s="1" t="s">
        <v>28</v>
      </c>
      <c r="E45" s="1">
        <v>64882.14</v>
      </c>
      <c r="F45" s="1">
        <v>3642</v>
      </c>
      <c r="G45" s="1">
        <v>1.9E-2</v>
      </c>
      <c r="H45" s="1">
        <v>13</v>
      </c>
      <c r="I45" s="1">
        <v>87.8</v>
      </c>
      <c r="J45" s="1">
        <v>4.5199999999999996</v>
      </c>
      <c r="K45" s="1">
        <v>0</v>
      </c>
      <c r="L45" s="1">
        <v>4.2</v>
      </c>
      <c r="M45" s="1">
        <v>605178</v>
      </c>
      <c r="N45" s="1">
        <v>106958.74</v>
      </c>
    </row>
    <row r="46" spans="1:14">
      <c r="A46" s="1" t="s">
        <v>33</v>
      </c>
      <c r="B46" s="3">
        <v>45658</v>
      </c>
      <c r="C46" s="1" t="s">
        <v>27</v>
      </c>
      <c r="D46" s="1" t="s">
        <v>16</v>
      </c>
      <c r="E46" s="1">
        <v>138855.51</v>
      </c>
      <c r="F46" s="1">
        <v>5145</v>
      </c>
      <c r="G46" s="1">
        <v>0.06</v>
      </c>
      <c r="H46" s="1">
        <v>17</v>
      </c>
      <c r="I46" s="1">
        <v>88.2</v>
      </c>
      <c r="J46" s="1">
        <v>9.58</v>
      </c>
      <c r="K46" s="1">
        <v>0</v>
      </c>
      <c r="L46" s="1">
        <v>3.2</v>
      </c>
      <c r="M46" s="1">
        <v>595467.6</v>
      </c>
      <c r="N46" s="1">
        <v>104276.46</v>
      </c>
    </row>
    <row r="47" spans="1:14">
      <c r="A47" s="1" t="s">
        <v>33</v>
      </c>
      <c r="B47" s="3">
        <v>45689</v>
      </c>
      <c r="C47" s="1" t="s">
        <v>27</v>
      </c>
      <c r="D47" s="1" t="s">
        <v>16</v>
      </c>
      <c r="E47" s="1">
        <v>63630.21</v>
      </c>
      <c r="F47" s="1">
        <v>4460</v>
      </c>
      <c r="G47" s="1">
        <v>0.23499999999999999</v>
      </c>
      <c r="H47" s="1">
        <v>14</v>
      </c>
      <c r="I47" s="1">
        <v>98.6</v>
      </c>
      <c r="J47" s="1">
        <v>5.52</v>
      </c>
      <c r="K47" s="1">
        <v>0</v>
      </c>
      <c r="L47" s="1">
        <v>3.5</v>
      </c>
      <c r="M47" s="1">
        <v>599603.4</v>
      </c>
      <c r="N47" s="1">
        <v>112685.12</v>
      </c>
    </row>
    <row r="48" spans="1:14">
      <c r="A48" s="1" t="s">
        <v>33</v>
      </c>
      <c r="B48" s="3">
        <v>45717</v>
      </c>
      <c r="C48" s="1" t="s">
        <v>27</v>
      </c>
      <c r="D48" s="1" t="s">
        <v>16</v>
      </c>
      <c r="E48" s="1">
        <v>50043.65</v>
      </c>
      <c r="F48" s="1">
        <v>3804</v>
      </c>
      <c r="G48" s="1">
        <v>0.113</v>
      </c>
      <c r="H48" s="1">
        <v>11</v>
      </c>
      <c r="I48" s="1">
        <v>90.9</v>
      </c>
      <c r="J48" s="1">
        <v>2.7</v>
      </c>
      <c r="K48" s="1">
        <v>1</v>
      </c>
      <c r="L48" s="1">
        <v>3.2</v>
      </c>
      <c r="M48" s="1">
        <v>614800.09</v>
      </c>
      <c r="N48" s="1">
        <v>100044.2</v>
      </c>
    </row>
    <row r="49" spans="1:14">
      <c r="A49" s="1" t="s">
        <v>33</v>
      </c>
      <c r="B49" s="3">
        <v>45748</v>
      </c>
      <c r="C49" s="1" t="s">
        <v>27</v>
      </c>
      <c r="D49" s="1" t="s">
        <v>16</v>
      </c>
      <c r="E49" s="1">
        <v>42093.84</v>
      </c>
      <c r="F49" s="1">
        <v>4074</v>
      </c>
      <c r="G49" s="1">
        <v>0.155</v>
      </c>
      <c r="H49" s="1">
        <v>15</v>
      </c>
      <c r="I49" s="1">
        <v>88</v>
      </c>
      <c r="J49" s="1">
        <v>9.64</v>
      </c>
      <c r="K49" s="1">
        <v>0</v>
      </c>
      <c r="L49" s="1">
        <v>3.3</v>
      </c>
      <c r="M49" s="1">
        <v>585365.73</v>
      </c>
      <c r="N49" s="1">
        <v>81011.520000000004</v>
      </c>
    </row>
    <row r="50" spans="1:14">
      <c r="A50" s="1" t="s">
        <v>34</v>
      </c>
      <c r="B50" s="3">
        <v>45658</v>
      </c>
      <c r="C50" s="1" t="s">
        <v>20</v>
      </c>
      <c r="D50" s="1" t="s">
        <v>28</v>
      </c>
      <c r="E50" s="1">
        <v>46624.05</v>
      </c>
      <c r="F50" s="1">
        <v>5104</v>
      </c>
      <c r="G50" s="1">
        <v>0.109</v>
      </c>
      <c r="H50" s="1">
        <v>11</v>
      </c>
      <c r="I50" s="1">
        <v>97.3</v>
      </c>
      <c r="J50" s="1">
        <v>3.49</v>
      </c>
      <c r="K50" s="1">
        <v>1</v>
      </c>
      <c r="L50" s="1">
        <v>4.7</v>
      </c>
      <c r="M50" s="1">
        <v>622811.74</v>
      </c>
      <c r="N50" s="1">
        <v>109978.35</v>
      </c>
    </row>
    <row r="51" spans="1:14">
      <c r="A51" s="1" t="s">
        <v>34</v>
      </c>
      <c r="B51" s="3">
        <v>45689</v>
      </c>
      <c r="C51" s="1" t="s">
        <v>20</v>
      </c>
      <c r="D51" s="1" t="s">
        <v>28</v>
      </c>
      <c r="E51" s="1">
        <v>49710.29</v>
      </c>
      <c r="F51" s="1">
        <v>5559</v>
      </c>
      <c r="G51" s="1">
        <v>0.218</v>
      </c>
      <c r="H51" s="1">
        <v>14</v>
      </c>
      <c r="I51" s="1">
        <v>71</v>
      </c>
      <c r="J51" s="1">
        <v>9.11</v>
      </c>
      <c r="K51" s="1">
        <v>0</v>
      </c>
      <c r="L51" s="1">
        <v>4.5999999999999996</v>
      </c>
      <c r="M51" s="1">
        <v>603297.56999999995</v>
      </c>
      <c r="N51" s="1">
        <v>60592.26</v>
      </c>
    </row>
    <row r="52" spans="1:14">
      <c r="A52" s="1" t="s">
        <v>34</v>
      </c>
      <c r="B52" s="3">
        <v>45717</v>
      </c>
      <c r="C52" s="1" t="s">
        <v>20</v>
      </c>
      <c r="D52" s="1" t="s">
        <v>28</v>
      </c>
      <c r="E52" s="1">
        <v>48287.85</v>
      </c>
      <c r="F52" s="1">
        <v>5150</v>
      </c>
      <c r="G52" s="1">
        <v>8.0000000000000002E-3</v>
      </c>
      <c r="H52" s="1">
        <v>12</v>
      </c>
      <c r="I52" s="1">
        <v>80.400000000000006</v>
      </c>
      <c r="J52" s="1">
        <v>7.4</v>
      </c>
      <c r="K52" s="1">
        <v>0</v>
      </c>
      <c r="L52" s="1">
        <v>4.5</v>
      </c>
      <c r="M52" s="1">
        <v>625672.86</v>
      </c>
      <c r="N52" s="1">
        <v>118020.12</v>
      </c>
    </row>
    <row r="53" spans="1:14">
      <c r="A53" s="1" t="s">
        <v>34</v>
      </c>
      <c r="B53" s="3">
        <v>45748</v>
      </c>
      <c r="C53" s="1" t="s">
        <v>20</v>
      </c>
      <c r="D53" s="1" t="s">
        <v>28</v>
      </c>
      <c r="E53" s="1">
        <v>65312.49</v>
      </c>
      <c r="F53" s="1">
        <v>7189</v>
      </c>
      <c r="G53" s="1">
        <v>0.05</v>
      </c>
      <c r="H53" s="1">
        <v>19</v>
      </c>
      <c r="I53" s="1">
        <v>93.7</v>
      </c>
      <c r="J53" s="1">
        <v>7.16</v>
      </c>
      <c r="K53" s="1">
        <v>0</v>
      </c>
      <c r="L53" s="1">
        <v>4.5999999999999996</v>
      </c>
      <c r="M53" s="1">
        <v>773815.14</v>
      </c>
      <c r="N53" s="1">
        <v>133948.39000000001</v>
      </c>
    </row>
    <row r="54" spans="1:14">
      <c r="A54" s="1" t="s">
        <v>35</v>
      </c>
      <c r="B54" s="3">
        <v>45658</v>
      </c>
      <c r="C54" s="1" t="s">
        <v>27</v>
      </c>
      <c r="D54" s="1" t="s">
        <v>18</v>
      </c>
      <c r="E54" s="1">
        <v>53015.46</v>
      </c>
      <c r="F54" s="1">
        <v>3279</v>
      </c>
      <c r="G54" s="1">
        <v>8.6999999999999994E-2</v>
      </c>
      <c r="H54" s="1">
        <v>9</v>
      </c>
      <c r="I54" s="1">
        <v>84.3</v>
      </c>
      <c r="J54" s="1">
        <v>22.02</v>
      </c>
      <c r="K54" s="1">
        <v>0</v>
      </c>
      <c r="L54" s="1">
        <v>3.9</v>
      </c>
      <c r="M54" s="1">
        <v>463534.25</v>
      </c>
      <c r="N54" s="1">
        <v>81834.539999999994</v>
      </c>
    </row>
    <row r="55" spans="1:14">
      <c r="A55" s="1" t="s">
        <v>35</v>
      </c>
      <c r="B55" s="3">
        <v>45689</v>
      </c>
      <c r="C55" s="1" t="s">
        <v>27</v>
      </c>
      <c r="D55" s="1" t="s">
        <v>18</v>
      </c>
      <c r="E55" s="1">
        <v>99874.01</v>
      </c>
      <c r="F55" s="1">
        <v>5887</v>
      </c>
      <c r="G55" s="1">
        <v>0.26200000000000001</v>
      </c>
      <c r="H55" s="1">
        <v>14</v>
      </c>
      <c r="I55" s="1">
        <v>88.7</v>
      </c>
      <c r="J55" s="1">
        <v>6.18</v>
      </c>
      <c r="K55" s="1">
        <v>0</v>
      </c>
      <c r="L55" s="1">
        <v>4.7</v>
      </c>
      <c r="M55" s="1">
        <v>746677.75</v>
      </c>
      <c r="N55" s="1">
        <v>122437.84</v>
      </c>
    </row>
    <row r="56" spans="1:14">
      <c r="A56" s="1" t="s">
        <v>35</v>
      </c>
      <c r="B56" s="3">
        <v>45717</v>
      </c>
      <c r="C56" s="1" t="s">
        <v>27</v>
      </c>
      <c r="D56" s="1" t="s">
        <v>18</v>
      </c>
      <c r="E56" s="1">
        <v>81195.5</v>
      </c>
      <c r="F56" s="1">
        <v>5516</v>
      </c>
      <c r="G56" s="1">
        <v>0.106</v>
      </c>
      <c r="H56" s="1">
        <v>14</v>
      </c>
      <c r="I56" s="1">
        <v>88</v>
      </c>
      <c r="J56" s="1">
        <v>1.76</v>
      </c>
      <c r="K56" s="1">
        <v>0</v>
      </c>
      <c r="L56" s="1">
        <v>4.3</v>
      </c>
      <c r="M56" s="1">
        <v>720852.5</v>
      </c>
      <c r="N56" s="1">
        <v>98565.62</v>
      </c>
    </row>
    <row r="57" spans="1:14">
      <c r="A57" s="1" t="s">
        <v>35</v>
      </c>
      <c r="B57" s="3">
        <v>45748</v>
      </c>
      <c r="C57" s="1" t="s">
        <v>27</v>
      </c>
      <c r="D57" s="1" t="s">
        <v>18</v>
      </c>
      <c r="E57" s="1">
        <v>27808.6</v>
      </c>
      <c r="F57" s="1">
        <v>2863</v>
      </c>
      <c r="G57" s="1">
        <v>0.08</v>
      </c>
      <c r="H57" s="1">
        <v>13</v>
      </c>
      <c r="I57" s="1">
        <v>89.3</v>
      </c>
      <c r="J57" s="1">
        <v>0.47</v>
      </c>
      <c r="K57" s="1">
        <v>0</v>
      </c>
      <c r="L57" s="1">
        <v>4.0999999999999996</v>
      </c>
      <c r="M57" s="1">
        <v>487464.91</v>
      </c>
      <c r="N57" s="1">
        <v>64562.26</v>
      </c>
    </row>
    <row r="58" spans="1:14">
      <c r="A58" s="1" t="s">
        <v>36</v>
      </c>
      <c r="B58" s="3">
        <v>45658</v>
      </c>
      <c r="C58" s="1" t="s">
        <v>15</v>
      </c>
      <c r="D58" s="1" t="s">
        <v>21</v>
      </c>
      <c r="E58" s="1">
        <v>19365.060000000001</v>
      </c>
      <c r="F58" s="1">
        <v>2378</v>
      </c>
      <c r="G58" s="1">
        <v>0</v>
      </c>
      <c r="H58" s="1">
        <v>12</v>
      </c>
      <c r="I58" s="1">
        <v>94.8</v>
      </c>
      <c r="J58" s="1">
        <v>0.2</v>
      </c>
      <c r="K58" s="1">
        <v>0</v>
      </c>
      <c r="L58" s="1">
        <v>3.5</v>
      </c>
      <c r="M58" s="1">
        <v>518049.26</v>
      </c>
      <c r="N58" s="1">
        <v>108592.49</v>
      </c>
    </row>
    <row r="59" spans="1:14">
      <c r="A59" s="1" t="s">
        <v>36</v>
      </c>
      <c r="B59" s="3">
        <v>45689</v>
      </c>
      <c r="C59" s="1" t="s">
        <v>15</v>
      </c>
      <c r="D59" s="1" t="s">
        <v>21</v>
      </c>
      <c r="E59" s="1">
        <v>59405.68</v>
      </c>
      <c r="F59" s="1">
        <v>2515</v>
      </c>
      <c r="G59" s="1">
        <v>3.9E-2</v>
      </c>
      <c r="H59" s="1">
        <v>12</v>
      </c>
      <c r="I59" s="1">
        <v>76</v>
      </c>
      <c r="J59" s="1">
        <v>5.1100000000000003</v>
      </c>
      <c r="K59" s="1">
        <v>0</v>
      </c>
      <c r="L59" s="1">
        <v>3.7</v>
      </c>
      <c r="M59" s="1">
        <v>500298.48</v>
      </c>
      <c r="N59" s="1">
        <v>73461.320000000007</v>
      </c>
    </row>
    <row r="60" spans="1:14">
      <c r="A60" s="1" t="s">
        <v>36</v>
      </c>
      <c r="B60" s="3">
        <v>45717</v>
      </c>
      <c r="C60" s="1" t="s">
        <v>15</v>
      </c>
      <c r="D60" s="1" t="s">
        <v>21</v>
      </c>
      <c r="E60" s="1">
        <v>118910.48</v>
      </c>
      <c r="F60" s="1">
        <v>4022</v>
      </c>
      <c r="G60" s="1">
        <v>0.13700000000000001</v>
      </c>
      <c r="H60" s="1">
        <v>11</v>
      </c>
      <c r="I60" s="1">
        <v>87.1</v>
      </c>
      <c r="J60" s="1">
        <v>0.2</v>
      </c>
      <c r="K60" s="1">
        <v>0</v>
      </c>
      <c r="L60" s="1">
        <v>3.1</v>
      </c>
      <c r="M60" s="1">
        <v>617291.15</v>
      </c>
      <c r="N60" s="1">
        <v>117782</v>
      </c>
    </row>
    <row r="61" spans="1:14">
      <c r="A61" s="1" t="s">
        <v>36</v>
      </c>
      <c r="B61" s="3">
        <v>45748</v>
      </c>
      <c r="C61" s="1" t="s">
        <v>15</v>
      </c>
      <c r="D61" s="1" t="s">
        <v>21</v>
      </c>
      <c r="E61" s="1">
        <v>52952.12</v>
      </c>
      <c r="F61" s="1">
        <v>4377</v>
      </c>
      <c r="G61" s="1">
        <v>9.1999999999999998E-2</v>
      </c>
      <c r="H61" s="1">
        <v>14</v>
      </c>
      <c r="I61" s="1">
        <v>88.6</v>
      </c>
      <c r="J61" s="1">
        <v>13.59</v>
      </c>
      <c r="K61" s="1">
        <v>0</v>
      </c>
      <c r="L61" s="1">
        <v>3.1</v>
      </c>
      <c r="M61" s="1">
        <v>553756.43000000005</v>
      </c>
      <c r="N61" s="1">
        <v>86166.77</v>
      </c>
    </row>
    <row r="62" spans="1:14">
      <c r="A62" s="1" t="s">
        <v>37</v>
      </c>
      <c r="B62" s="3">
        <v>45658</v>
      </c>
      <c r="C62" s="1" t="s">
        <v>24</v>
      </c>
      <c r="D62" s="1" t="s">
        <v>18</v>
      </c>
      <c r="E62" s="1">
        <v>74907.98</v>
      </c>
      <c r="F62" s="1">
        <v>5306</v>
      </c>
      <c r="G62" s="1">
        <v>6.2E-2</v>
      </c>
      <c r="H62" s="1">
        <v>16</v>
      </c>
      <c r="I62" s="1">
        <v>95.6</v>
      </c>
      <c r="J62" s="1">
        <v>1.02</v>
      </c>
      <c r="K62" s="1">
        <v>0</v>
      </c>
      <c r="L62" s="1">
        <v>3.7</v>
      </c>
      <c r="M62" s="1">
        <v>749559.71</v>
      </c>
      <c r="N62" s="1">
        <v>144522.53</v>
      </c>
    </row>
    <row r="63" spans="1:14">
      <c r="A63" s="1" t="s">
        <v>37</v>
      </c>
      <c r="B63" s="3">
        <v>45689</v>
      </c>
      <c r="C63" s="1" t="s">
        <v>24</v>
      </c>
      <c r="D63" s="1" t="s">
        <v>18</v>
      </c>
      <c r="E63" s="1">
        <v>37284.660000000003</v>
      </c>
      <c r="F63" s="1">
        <v>3928</v>
      </c>
      <c r="G63" s="1">
        <v>7.3999999999999996E-2</v>
      </c>
      <c r="H63" s="1">
        <v>12</v>
      </c>
      <c r="I63" s="1">
        <v>86.5</v>
      </c>
      <c r="J63" s="1">
        <v>1.64</v>
      </c>
      <c r="K63" s="1">
        <v>0</v>
      </c>
      <c r="L63" s="1">
        <v>3.8</v>
      </c>
      <c r="M63" s="1">
        <v>615966.48</v>
      </c>
      <c r="N63" s="1">
        <v>91509.38</v>
      </c>
    </row>
    <row r="64" spans="1:14">
      <c r="A64" s="1" t="s">
        <v>37</v>
      </c>
      <c r="B64" s="3">
        <v>45717</v>
      </c>
      <c r="C64" s="1" t="s">
        <v>24</v>
      </c>
      <c r="D64" s="1" t="s">
        <v>18</v>
      </c>
      <c r="E64" s="1">
        <v>50343.19</v>
      </c>
      <c r="F64" s="1">
        <v>3845</v>
      </c>
      <c r="G64" s="1">
        <v>0.113</v>
      </c>
      <c r="H64" s="1">
        <v>9</v>
      </c>
      <c r="I64" s="1">
        <v>88.7</v>
      </c>
      <c r="J64" s="1">
        <v>5.15</v>
      </c>
      <c r="K64" s="1">
        <v>0</v>
      </c>
      <c r="L64" s="1">
        <v>3.3</v>
      </c>
      <c r="M64" s="1">
        <v>572011.19999999995</v>
      </c>
      <c r="N64" s="1">
        <v>101409.68</v>
      </c>
    </row>
    <row r="65" spans="1:14">
      <c r="A65" s="1" t="s">
        <v>37</v>
      </c>
      <c r="B65" s="3">
        <v>45748</v>
      </c>
      <c r="C65" s="1" t="s">
        <v>24</v>
      </c>
      <c r="D65" s="1" t="s">
        <v>18</v>
      </c>
      <c r="E65" s="1">
        <v>74954.47</v>
      </c>
      <c r="F65" s="1">
        <v>6620</v>
      </c>
      <c r="G65" s="1">
        <v>5.3999999999999999E-2</v>
      </c>
      <c r="H65" s="1">
        <v>17</v>
      </c>
      <c r="I65" s="1">
        <v>91.1</v>
      </c>
      <c r="J65" s="1">
        <v>1.1100000000000001</v>
      </c>
      <c r="K65" s="1">
        <v>0</v>
      </c>
      <c r="L65" s="1">
        <v>3.5</v>
      </c>
      <c r="M65" s="1">
        <v>761860.19</v>
      </c>
      <c r="N65" s="1">
        <v>133279.38</v>
      </c>
    </row>
    <row r="66" spans="1:14">
      <c r="A66" s="1" t="s">
        <v>38</v>
      </c>
      <c r="B66" s="3">
        <v>45658</v>
      </c>
      <c r="C66" s="1" t="s">
        <v>27</v>
      </c>
      <c r="D66" s="1" t="s">
        <v>18</v>
      </c>
      <c r="E66" s="1">
        <v>70040.31</v>
      </c>
      <c r="F66" s="1">
        <v>9175</v>
      </c>
      <c r="G66" s="1">
        <v>0.107</v>
      </c>
      <c r="H66" s="1">
        <v>23</v>
      </c>
      <c r="I66" s="1">
        <v>95.1</v>
      </c>
      <c r="J66" s="1">
        <v>6.08</v>
      </c>
      <c r="K66" s="1">
        <v>1</v>
      </c>
      <c r="L66" s="1">
        <v>3.4</v>
      </c>
      <c r="M66" s="1">
        <v>784502.68</v>
      </c>
      <c r="N66" s="1">
        <v>129519.72</v>
      </c>
    </row>
    <row r="67" spans="1:14">
      <c r="A67" s="1" t="s">
        <v>38</v>
      </c>
      <c r="B67" s="3">
        <v>45689</v>
      </c>
      <c r="C67" s="1" t="s">
        <v>27</v>
      </c>
      <c r="D67" s="1" t="s">
        <v>18</v>
      </c>
      <c r="E67" s="1">
        <v>51148.69</v>
      </c>
      <c r="F67" s="1">
        <v>7940</v>
      </c>
      <c r="G67" s="1">
        <v>0.156</v>
      </c>
      <c r="H67" s="1">
        <v>18</v>
      </c>
      <c r="I67" s="1">
        <v>93.3</v>
      </c>
      <c r="J67" s="1">
        <v>10.91</v>
      </c>
      <c r="K67" s="1">
        <v>0</v>
      </c>
      <c r="L67" s="1">
        <v>3.6</v>
      </c>
      <c r="M67" s="1">
        <v>717141.55</v>
      </c>
      <c r="N67" s="1">
        <v>134013.60999999999</v>
      </c>
    </row>
    <row r="68" spans="1:14">
      <c r="A68" s="1" t="s">
        <v>38</v>
      </c>
      <c r="B68" s="3">
        <v>45717</v>
      </c>
      <c r="C68" s="1" t="s">
        <v>27</v>
      </c>
      <c r="D68" s="1" t="s">
        <v>18</v>
      </c>
      <c r="E68" s="1">
        <v>79346.100000000006</v>
      </c>
      <c r="F68" s="1">
        <v>9628</v>
      </c>
      <c r="G68" s="1">
        <v>0.10199999999999999</v>
      </c>
      <c r="H68" s="1">
        <v>20</v>
      </c>
      <c r="I68" s="1">
        <v>99</v>
      </c>
      <c r="J68" s="1">
        <v>19.010000000000002</v>
      </c>
      <c r="K68" s="1">
        <v>1</v>
      </c>
      <c r="L68" s="1">
        <v>3.2</v>
      </c>
      <c r="M68" s="1">
        <v>685379.08</v>
      </c>
      <c r="N68" s="1">
        <v>106898.82</v>
      </c>
    </row>
    <row r="69" spans="1:14">
      <c r="A69" s="1" t="s">
        <v>38</v>
      </c>
      <c r="B69" s="3">
        <v>45748</v>
      </c>
      <c r="C69" s="1" t="s">
        <v>27</v>
      </c>
      <c r="D69" s="1" t="s">
        <v>18</v>
      </c>
      <c r="E69" s="1">
        <v>42018.400000000001</v>
      </c>
      <c r="F69" s="1">
        <v>8296</v>
      </c>
      <c r="G69" s="1">
        <v>0.115</v>
      </c>
      <c r="H69" s="1">
        <v>17</v>
      </c>
      <c r="I69" s="1">
        <v>91.8</v>
      </c>
      <c r="J69" s="1">
        <v>0.77</v>
      </c>
      <c r="K69" s="1">
        <v>0</v>
      </c>
      <c r="L69" s="1">
        <v>3.4</v>
      </c>
      <c r="M69" s="1">
        <v>740496.65</v>
      </c>
      <c r="N69" s="1">
        <v>128020.9</v>
      </c>
    </row>
    <row r="70" spans="1:14">
      <c r="A70" s="1" t="s">
        <v>39</v>
      </c>
      <c r="B70" s="3">
        <v>45658</v>
      </c>
      <c r="C70" s="1" t="s">
        <v>15</v>
      </c>
      <c r="D70" s="1" t="s">
        <v>18</v>
      </c>
      <c r="E70" s="1">
        <v>70937.240000000005</v>
      </c>
      <c r="F70" s="1">
        <v>3595</v>
      </c>
      <c r="G70" s="1">
        <v>0.14099999999999999</v>
      </c>
      <c r="H70" s="1">
        <v>11</v>
      </c>
      <c r="I70" s="1">
        <v>88.9</v>
      </c>
      <c r="J70" s="1">
        <v>2.83</v>
      </c>
      <c r="K70" s="1">
        <v>1</v>
      </c>
      <c r="L70" s="1">
        <v>3.3</v>
      </c>
      <c r="M70" s="1">
        <v>661927.14</v>
      </c>
      <c r="N70" s="1">
        <v>79218.570000000007</v>
      </c>
    </row>
    <row r="71" spans="1:14">
      <c r="A71" s="1" t="s">
        <v>39</v>
      </c>
      <c r="B71" s="3">
        <v>45689</v>
      </c>
      <c r="C71" s="1" t="s">
        <v>15</v>
      </c>
      <c r="D71" s="1" t="s">
        <v>18</v>
      </c>
      <c r="E71" s="1">
        <v>36813.449999999997</v>
      </c>
      <c r="F71" s="1">
        <v>2834</v>
      </c>
      <c r="G71" s="1">
        <v>0.191</v>
      </c>
      <c r="H71" s="1">
        <v>11</v>
      </c>
      <c r="I71" s="1">
        <v>81.8</v>
      </c>
      <c r="J71" s="1">
        <v>2.33</v>
      </c>
      <c r="K71" s="1">
        <v>0</v>
      </c>
      <c r="L71" s="1">
        <v>3.3</v>
      </c>
      <c r="M71" s="1">
        <v>479050.5</v>
      </c>
      <c r="N71" s="1">
        <v>53651.11</v>
      </c>
    </row>
    <row r="72" spans="1:14">
      <c r="A72" s="1" t="s">
        <v>39</v>
      </c>
      <c r="B72" s="3">
        <v>45717</v>
      </c>
      <c r="C72" s="1" t="s">
        <v>15</v>
      </c>
      <c r="D72" s="1" t="s">
        <v>18</v>
      </c>
      <c r="E72" s="1">
        <v>60571.82</v>
      </c>
      <c r="F72" s="1">
        <v>3193</v>
      </c>
      <c r="G72" s="1">
        <v>0.19700000000000001</v>
      </c>
      <c r="H72" s="1">
        <v>7</v>
      </c>
      <c r="I72" s="1">
        <v>99</v>
      </c>
      <c r="J72" s="1">
        <v>1.43</v>
      </c>
      <c r="K72" s="1">
        <v>0</v>
      </c>
      <c r="L72" s="1">
        <v>3.2</v>
      </c>
      <c r="M72" s="1">
        <v>605023.87</v>
      </c>
      <c r="N72" s="1">
        <v>98545.81</v>
      </c>
    </row>
    <row r="73" spans="1:14">
      <c r="A73" s="1" t="s">
        <v>39</v>
      </c>
      <c r="B73" s="3">
        <v>45748</v>
      </c>
      <c r="C73" s="1" t="s">
        <v>15</v>
      </c>
      <c r="D73" s="1" t="s">
        <v>18</v>
      </c>
      <c r="E73" s="1">
        <v>55081.16</v>
      </c>
      <c r="F73" s="1">
        <v>5485</v>
      </c>
      <c r="G73" s="1">
        <v>3.5999999999999997E-2</v>
      </c>
      <c r="H73" s="1">
        <v>12</v>
      </c>
      <c r="I73" s="1">
        <v>88</v>
      </c>
      <c r="J73" s="1"/>
      <c r="K73" s="1">
        <v>0</v>
      </c>
      <c r="L73" s="1">
        <v>3.5</v>
      </c>
      <c r="M73" s="1">
        <v>674774.09</v>
      </c>
      <c r="N73" s="1">
        <v>141917.59</v>
      </c>
    </row>
    <row r="74" spans="1:14">
      <c r="A74" s="1" t="s">
        <v>40</v>
      </c>
      <c r="B74" s="3">
        <v>45658</v>
      </c>
      <c r="C74" s="1" t="s">
        <v>15</v>
      </c>
      <c r="D74" s="1" t="s">
        <v>16</v>
      </c>
      <c r="E74" s="1">
        <v>46201.46</v>
      </c>
      <c r="F74" s="1">
        <v>5918</v>
      </c>
      <c r="G74" s="1">
        <v>0.27700000000000002</v>
      </c>
      <c r="H74" s="1">
        <v>13</v>
      </c>
      <c r="I74" s="1">
        <v>78.8</v>
      </c>
      <c r="J74" s="1">
        <v>4.91</v>
      </c>
      <c r="K74" s="1">
        <v>0</v>
      </c>
      <c r="L74" s="1">
        <v>4.5</v>
      </c>
      <c r="M74" s="1">
        <v>616069.41</v>
      </c>
      <c r="N74" s="1">
        <v>54453.99</v>
      </c>
    </row>
    <row r="75" spans="1:14">
      <c r="A75" s="1" t="s">
        <v>40</v>
      </c>
      <c r="B75" s="3">
        <v>45689</v>
      </c>
      <c r="C75" s="1" t="s">
        <v>15</v>
      </c>
      <c r="D75" s="1" t="s">
        <v>16</v>
      </c>
      <c r="E75" s="1">
        <v>53762.92</v>
      </c>
      <c r="F75" s="1">
        <v>6821</v>
      </c>
      <c r="G75" s="1">
        <v>6.6000000000000003E-2</v>
      </c>
      <c r="H75" s="1">
        <v>19</v>
      </c>
      <c r="I75" s="1">
        <v>94.6</v>
      </c>
      <c r="J75" s="1">
        <v>7.03</v>
      </c>
      <c r="K75" s="1">
        <v>0</v>
      </c>
      <c r="L75" s="1">
        <v>4.4000000000000004</v>
      </c>
      <c r="M75" s="1">
        <v>630829.93999999994</v>
      </c>
      <c r="N75" s="1">
        <v>117090.02</v>
      </c>
    </row>
    <row r="76" spans="1:14">
      <c r="A76" s="1" t="s">
        <v>40</v>
      </c>
      <c r="B76" s="3">
        <v>45717</v>
      </c>
      <c r="C76" s="1" t="s">
        <v>15</v>
      </c>
      <c r="D76" s="1" t="s">
        <v>16</v>
      </c>
      <c r="E76" s="1">
        <v>70144.78</v>
      </c>
      <c r="F76" s="1">
        <v>6806</v>
      </c>
      <c r="G76" s="1">
        <v>0.17799999999999999</v>
      </c>
      <c r="H76" s="1">
        <v>20</v>
      </c>
      <c r="I76" s="1">
        <v>93.1</v>
      </c>
      <c r="J76" s="1">
        <v>0.28000000000000003</v>
      </c>
      <c r="K76" s="1">
        <v>1</v>
      </c>
      <c r="L76" s="1">
        <v>4.3</v>
      </c>
      <c r="M76" s="1">
        <v>788087.68</v>
      </c>
      <c r="N76" s="1">
        <v>116803.42</v>
      </c>
    </row>
    <row r="77" spans="1:14">
      <c r="A77" s="1" t="s">
        <v>40</v>
      </c>
      <c r="B77" s="3">
        <v>45748</v>
      </c>
      <c r="C77" s="1" t="s">
        <v>15</v>
      </c>
      <c r="D77" s="1" t="s">
        <v>16</v>
      </c>
      <c r="E77" s="1">
        <v>58749.63</v>
      </c>
      <c r="F77" s="1">
        <v>8252</v>
      </c>
      <c r="G77" s="1">
        <v>0.20300000000000001</v>
      </c>
      <c r="H77" s="1">
        <v>20</v>
      </c>
      <c r="I77" s="1">
        <v>85.2</v>
      </c>
      <c r="J77" s="1">
        <v>3.61</v>
      </c>
      <c r="K77" s="1">
        <v>0</v>
      </c>
      <c r="L77" s="1">
        <v>4.5</v>
      </c>
      <c r="M77" s="1">
        <v>680840.36</v>
      </c>
      <c r="N77" s="1">
        <v>68007.679999999993</v>
      </c>
    </row>
    <row r="78" spans="1:14">
      <c r="A78" s="1" t="s">
        <v>41</v>
      </c>
      <c r="B78" s="3">
        <v>45658</v>
      </c>
      <c r="C78" s="1" t="s">
        <v>24</v>
      </c>
      <c r="D78" s="1" t="s">
        <v>18</v>
      </c>
      <c r="E78" s="1">
        <v>56973.18</v>
      </c>
      <c r="F78" s="1">
        <v>6662</v>
      </c>
      <c r="G78" s="1">
        <v>0.1</v>
      </c>
      <c r="H78" s="1">
        <v>15</v>
      </c>
      <c r="I78" s="1">
        <v>77.7</v>
      </c>
      <c r="J78" s="1">
        <v>7.52</v>
      </c>
      <c r="K78" s="1">
        <v>1</v>
      </c>
      <c r="L78" s="1">
        <v>3.2</v>
      </c>
      <c r="M78" s="1">
        <v>643657.47</v>
      </c>
      <c r="N78" s="1">
        <v>87022.45</v>
      </c>
    </row>
    <row r="79" spans="1:14">
      <c r="A79" s="1" t="s">
        <v>41</v>
      </c>
      <c r="B79" s="3">
        <v>45689</v>
      </c>
      <c r="C79" s="1" t="s">
        <v>24</v>
      </c>
      <c r="D79" s="1" t="s">
        <v>18</v>
      </c>
      <c r="E79" s="1">
        <v>54872.82</v>
      </c>
      <c r="F79" s="1">
        <v>5962</v>
      </c>
      <c r="G79" s="1">
        <v>6.4000000000000001E-2</v>
      </c>
      <c r="H79" s="1">
        <v>12</v>
      </c>
      <c r="I79" s="1">
        <v>85.4</v>
      </c>
      <c r="J79" s="1">
        <v>2.58</v>
      </c>
      <c r="K79" s="1">
        <v>0</v>
      </c>
      <c r="L79" s="1">
        <v>2.9</v>
      </c>
      <c r="M79" s="1">
        <v>691112.6</v>
      </c>
      <c r="N79" s="1">
        <v>109212.83</v>
      </c>
    </row>
    <row r="80" spans="1:14">
      <c r="A80" s="1" t="s">
        <v>41</v>
      </c>
      <c r="B80" s="3">
        <v>45717</v>
      </c>
      <c r="C80" s="1" t="s">
        <v>24</v>
      </c>
      <c r="D80" s="1" t="s">
        <v>18</v>
      </c>
      <c r="E80" s="1">
        <v>80562.81</v>
      </c>
      <c r="F80" s="1">
        <v>7470</v>
      </c>
      <c r="G80" s="1">
        <v>0.17199999999999999</v>
      </c>
      <c r="H80" s="1">
        <v>16</v>
      </c>
      <c r="I80" s="1">
        <v>83.5</v>
      </c>
      <c r="J80" s="1">
        <v>2.29</v>
      </c>
      <c r="K80" s="1">
        <v>0</v>
      </c>
      <c r="L80" s="1">
        <v>3.3</v>
      </c>
      <c r="M80" s="1">
        <v>776922.17</v>
      </c>
      <c r="N80" s="1">
        <v>150701.93</v>
      </c>
    </row>
    <row r="81" spans="1:14">
      <c r="A81" s="1" t="s">
        <v>41</v>
      </c>
      <c r="B81" s="3">
        <v>45748</v>
      </c>
      <c r="C81" s="1" t="s">
        <v>24</v>
      </c>
      <c r="D81" s="1" t="s">
        <v>18</v>
      </c>
      <c r="E81" s="1">
        <v>77999.899999999994</v>
      </c>
      <c r="F81" s="1">
        <v>5974</v>
      </c>
      <c r="G81" s="1">
        <v>0.252</v>
      </c>
      <c r="H81" s="1">
        <v>14</v>
      </c>
      <c r="I81" s="1">
        <v>81.3</v>
      </c>
      <c r="J81" s="1">
        <v>2.39</v>
      </c>
      <c r="K81" s="1">
        <v>0</v>
      </c>
      <c r="L81" s="1">
        <v>3.2</v>
      </c>
      <c r="M81" s="1">
        <v>636561.34</v>
      </c>
      <c r="N81" s="1">
        <v>93861.06</v>
      </c>
    </row>
    <row r="82" spans="1:14">
      <c r="A82" s="1" t="s">
        <v>42</v>
      </c>
      <c r="B82" s="3">
        <v>45658</v>
      </c>
      <c r="C82" s="1" t="s">
        <v>27</v>
      </c>
      <c r="D82" s="1" t="s">
        <v>28</v>
      </c>
      <c r="E82" s="1">
        <v>60881.01</v>
      </c>
      <c r="F82" s="1">
        <v>5410</v>
      </c>
      <c r="G82" s="1">
        <v>0.17899999999999999</v>
      </c>
      <c r="H82" s="1">
        <v>15</v>
      </c>
      <c r="I82" s="1">
        <v>83.9</v>
      </c>
      <c r="J82" s="1">
        <v>5.24</v>
      </c>
      <c r="K82" s="1">
        <v>0</v>
      </c>
      <c r="L82" s="1">
        <v>4.5999999999999996</v>
      </c>
      <c r="M82" s="1">
        <v>621369.57999999996</v>
      </c>
      <c r="N82" s="1">
        <v>85493.64</v>
      </c>
    </row>
    <row r="83" spans="1:14">
      <c r="A83" s="1" t="s">
        <v>42</v>
      </c>
      <c r="B83" s="3">
        <v>45689</v>
      </c>
      <c r="C83" s="1" t="s">
        <v>27</v>
      </c>
      <c r="D83" s="1" t="s">
        <v>28</v>
      </c>
      <c r="E83" s="1">
        <v>60628.38</v>
      </c>
      <c r="F83" s="1">
        <v>4451</v>
      </c>
      <c r="G83" s="1">
        <v>9.5000000000000001E-2</v>
      </c>
      <c r="H83" s="1">
        <v>10</v>
      </c>
      <c r="I83" s="1">
        <v>89.6</v>
      </c>
      <c r="J83" s="1">
        <v>3.17</v>
      </c>
      <c r="K83" s="1">
        <v>0</v>
      </c>
      <c r="L83" s="1">
        <v>4.5999999999999996</v>
      </c>
      <c r="M83" s="1">
        <v>682208.01</v>
      </c>
      <c r="N83" s="1">
        <v>110318.84</v>
      </c>
    </row>
    <row r="84" spans="1:14">
      <c r="A84" s="1" t="s">
        <v>42</v>
      </c>
      <c r="B84" s="3">
        <v>45717</v>
      </c>
      <c r="C84" s="1" t="s">
        <v>27</v>
      </c>
      <c r="D84" s="1" t="s">
        <v>28</v>
      </c>
      <c r="E84" s="1">
        <v>72731.14</v>
      </c>
      <c r="F84" s="1">
        <v>4644</v>
      </c>
      <c r="G84" s="1">
        <v>8.4000000000000005E-2</v>
      </c>
      <c r="H84" s="1">
        <v>15</v>
      </c>
      <c r="I84" s="1">
        <v>87.1</v>
      </c>
      <c r="J84" s="1">
        <v>2.66</v>
      </c>
      <c r="K84" s="1">
        <v>0</v>
      </c>
      <c r="L84" s="1">
        <v>4.5999999999999996</v>
      </c>
      <c r="M84" s="1">
        <v>727241.86</v>
      </c>
      <c r="N84" s="1">
        <v>155810.29999999999</v>
      </c>
    </row>
    <row r="85" spans="1:14">
      <c r="A85" s="1" t="s">
        <v>42</v>
      </c>
      <c r="B85" s="3">
        <v>45748</v>
      </c>
      <c r="C85" s="1" t="s">
        <v>27</v>
      </c>
      <c r="D85" s="1" t="s">
        <v>28</v>
      </c>
      <c r="E85" s="1">
        <v>36475.71</v>
      </c>
      <c r="F85" s="1">
        <v>3559</v>
      </c>
      <c r="G85" s="1">
        <v>0.03</v>
      </c>
      <c r="H85" s="1">
        <v>8</v>
      </c>
      <c r="I85" s="1">
        <v>83.6</v>
      </c>
      <c r="J85" s="1">
        <v>1.41</v>
      </c>
      <c r="K85" s="1">
        <v>0</v>
      </c>
      <c r="L85" s="1">
        <v>4.2</v>
      </c>
      <c r="M85" s="1">
        <v>569100.78</v>
      </c>
      <c r="N85" s="1">
        <v>104808.78</v>
      </c>
    </row>
    <row r="86" spans="1:14">
      <c r="A86" s="1" t="s">
        <v>43</v>
      </c>
      <c r="B86" s="3">
        <v>45658</v>
      </c>
      <c r="C86" s="1" t="s">
        <v>27</v>
      </c>
      <c r="D86" s="1" t="s">
        <v>18</v>
      </c>
      <c r="E86" s="1">
        <v>55388.11</v>
      </c>
      <c r="F86" s="1">
        <v>3091</v>
      </c>
      <c r="G86" s="1">
        <v>0.108</v>
      </c>
      <c r="H86" s="1">
        <v>7</v>
      </c>
      <c r="I86" s="1">
        <v>85.4</v>
      </c>
      <c r="J86" s="1">
        <v>7.34</v>
      </c>
      <c r="K86" s="1">
        <v>0</v>
      </c>
      <c r="L86" s="1">
        <v>4.9000000000000004</v>
      </c>
      <c r="M86" s="1">
        <v>574436.29</v>
      </c>
      <c r="N86" s="1">
        <v>80271.990000000005</v>
      </c>
    </row>
    <row r="87" spans="1:14">
      <c r="A87" s="1" t="s">
        <v>43</v>
      </c>
      <c r="B87" s="3">
        <v>45689</v>
      </c>
      <c r="C87" s="1" t="s">
        <v>27</v>
      </c>
      <c r="D87" s="1" t="s">
        <v>18</v>
      </c>
      <c r="E87" s="1">
        <v>88443.77</v>
      </c>
      <c r="F87" s="1">
        <v>4004</v>
      </c>
      <c r="G87" s="1">
        <v>0.20599999999999999</v>
      </c>
      <c r="H87" s="1">
        <v>11</v>
      </c>
      <c r="I87" s="1">
        <v>91.9</v>
      </c>
      <c r="J87" s="1">
        <v>5.95</v>
      </c>
      <c r="K87" s="1">
        <v>0</v>
      </c>
      <c r="L87" s="1"/>
      <c r="M87" s="1">
        <v>611766.72</v>
      </c>
      <c r="N87" s="1">
        <v>88275.61</v>
      </c>
    </row>
    <row r="88" spans="1:14">
      <c r="A88" s="1" t="s">
        <v>43</v>
      </c>
      <c r="B88" s="3">
        <v>45717</v>
      </c>
      <c r="C88" s="1" t="s">
        <v>27</v>
      </c>
      <c r="D88" s="1" t="s">
        <v>18</v>
      </c>
      <c r="E88" s="1">
        <v>78231.91</v>
      </c>
      <c r="F88" s="1">
        <v>3788</v>
      </c>
      <c r="G88" s="1">
        <v>5.8999999999999997E-2</v>
      </c>
      <c r="H88" s="1">
        <v>11</v>
      </c>
      <c r="I88" s="1">
        <v>88.5</v>
      </c>
      <c r="J88" s="1">
        <v>15.51</v>
      </c>
      <c r="K88" s="1">
        <v>0</v>
      </c>
      <c r="L88" s="1">
        <v>4.3</v>
      </c>
      <c r="M88" s="1">
        <v>614596.31999999995</v>
      </c>
      <c r="N88" s="1">
        <v>131199.41</v>
      </c>
    </row>
    <row r="89" spans="1:14">
      <c r="A89" s="1" t="s">
        <v>43</v>
      </c>
      <c r="B89" s="3">
        <v>45748</v>
      </c>
      <c r="C89" s="1" t="s">
        <v>27</v>
      </c>
      <c r="D89" s="1" t="s">
        <v>18</v>
      </c>
      <c r="E89" s="1">
        <v>18996.32</v>
      </c>
      <c r="F89" s="1">
        <v>1260</v>
      </c>
      <c r="G89" s="1">
        <v>0.14499999999999999</v>
      </c>
      <c r="H89" s="1">
        <v>9</v>
      </c>
      <c r="I89" s="1">
        <v>86.4</v>
      </c>
      <c r="J89" s="1">
        <v>4.3099999999999996</v>
      </c>
      <c r="K89" s="1">
        <v>0</v>
      </c>
      <c r="L89" s="1">
        <v>4.5999999999999996</v>
      </c>
      <c r="M89" s="1">
        <v>450711.92</v>
      </c>
      <c r="N89" s="1">
        <v>90043.76</v>
      </c>
    </row>
    <row r="90" spans="1:14">
      <c r="A90" s="1" t="s">
        <v>44</v>
      </c>
      <c r="B90" s="3">
        <v>45658</v>
      </c>
      <c r="C90" s="1" t="s">
        <v>24</v>
      </c>
      <c r="D90" s="1" t="s">
        <v>28</v>
      </c>
      <c r="E90" s="1">
        <v>50517.94</v>
      </c>
      <c r="F90" s="1">
        <v>7024</v>
      </c>
      <c r="G90" s="1">
        <v>2.9000000000000001E-2</v>
      </c>
      <c r="H90" s="1">
        <v>18</v>
      </c>
      <c r="I90" s="1">
        <v>79.2</v>
      </c>
      <c r="J90" s="1">
        <v>6.61</v>
      </c>
      <c r="K90" s="1">
        <v>1</v>
      </c>
      <c r="L90" s="1">
        <v>4.0999999999999996</v>
      </c>
      <c r="M90" s="1">
        <v>711213.46</v>
      </c>
      <c r="N90" s="1">
        <v>105863.26</v>
      </c>
    </row>
    <row r="91" spans="1:14">
      <c r="A91" s="1" t="s">
        <v>44</v>
      </c>
      <c r="B91" s="3">
        <v>45689</v>
      </c>
      <c r="C91" s="1" t="s">
        <v>24</v>
      </c>
      <c r="D91" s="1" t="s">
        <v>28</v>
      </c>
      <c r="E91" s="1">
        <v>141540.29</v>
      </c>
      <c r="F91" s="1">
        <v>5400</v>
      </c>
      <c r="G91" s="1">
        <v>1.2999999999999999E-2</v>
      </c>
      <c r="H91" s="1">
        <v>12</v>
      </c>
      <c r="I91" s="1">
        <v>87</v>
      </c>
      <c r="J91" s="1">
        <v>4.26</v>
      </c>
      <c r="K91" s="1">
        <v>0</v>
      </c>
      <c r="L91" s="1">
        <v>4.5</v>
      </c>
      <c r="M91" s="1">
        <v>627171.9</v>
      </c>
      <c r="N91" s="1">
        <v>105772.75</v>
      </c>
    </row>
    <row r="92" spans="1:14">
      <c r="A92" s="1" t="s">
        <v>44</v>
      </c>
      <c r="B92" s="3">
        <v>45717</v>
      </c>
      <c r="C92" s="1" t="s">
        <v>24</v>
      </c>
      <c r="D92" s="1" t="s">
        <v>28</v>
      </c>
      <c r="E92" s="1">
        <v>82116.19</v>
      </c>
      <c r="F92" s="1">
        <v>5988</v>
      </c>
      <c r="G92" s="1">
        <v>0.04</v>
      </c>
      <c r="H92" s="1">
        <v>17</v>
      </c>
      <c r="I92" s="1">
        <v>91.8</v>
      </c>
      <c r="J92" s="1">
        <v>5.75</v>
      </c>
      <c r="K92" s="1">
        <v>0</v>
      </c>
      <c r="L92" s="1">
        <v>4.7</v>
      </c>
      <c r="M92" s="1">
        <v>739852.58</v>
      </c>
      <c r="N92" s="1">
        <v>129386.43</v>
      </c>
    </row>
    <row r="93" spans="1:14">
      <c r="A93" s="1" t="s">
        <v>44</v>
      </c>
      <c r="B93" s="3">
        <v>45748</v>
      </c>
      <c r="C93" s="1" t="s">
        <v>24</v>
      </c>
      <c r="D93" s="1" t="s">
        <v>28</v>
      </c>
      <c r="E93" s="1">
        <v>31207.51</v>
      </c>
      <c r="F93" s="1">
        <v>3701</v>
      </c>
      <c r="G93" s="1">
        <v>4.2999999999999997E-2</v>
      </c>
      <c r="H93" s="1">
        <v>11</v>
      </c>
      <c r="I93" s="1">
        <v>84.7</v>
      </c>
      <c r="J93" s="1">
        <v>0.33</v>
      </c>
      <c r="K93" s="1">
        <v>0</v>
      </c>
      <c r="L93" s="1">
        <v>4.3</v>
      </c>
      <c r="M93" s="1">
        <v>586307.22</v>
      </c>
      <c r="N93" s="1">
        <v>73927.850000000006</v>
      </c>
    </row>
    <row r="94" spans="1:14">
      <c r="A94" s="1" t="s">
        <v>45</v>
      </c>
      <c r="B94" s="3">
        <v>45658</v>
      </c>
      <c r="C94" s="1" t="s">
        <v>27</v>
      </c>
      <c r="D94" s="1" t="s">
        <v>16</v>
      </c>
      <c r="E94" s="1">
        <v>38966.589999999997</v>
      </c>
      <c r="F94" s="1">
        <v>4509</v>
      </c>
      <c r="G94" s="1">
        <v>0.19400000000000001</v>
      </c>
      <c r="H94" s="1">
        <v>14</v>
      </c>
      <c r="I94" s="1">
        <v>91.1</v>
      </c>
      <c r="J94" s="1">
        <v>2.92</v>
      </c>
      <c r="K94" s="1">
        <v>0</v>
      </c>
      <c r="L94" s="1">
        <v>4.5999999999999996</v>
      </c>
      <c r="M94" s="1">
        <v>585937.48</v>
      </c>
      <c r="N94" s="1">
        <v>82624.2</v>
      </c>
    </row>
    <row r="95" spans="1:14">
      <c r="A95" s="1" t="s">
        <v>45</v>
      </c>
      <c r="B95" s="3">
        <v>45689</v>
      </c>
      <c r="C95" s="1" t="s">
        <v>27</v>
      </c>
      <c r="D95" s="1" t="s">
        <v>16</v>
      </c>
      <c r="E95" s="1">
        <v>67439.3</v>
      </c>
      <c r="F95" s="1">
        <v>6477</v>
      </c>
      <c r="G95" s="1">
        <v>0</v>
      </c>
      <c r="H95" s="1">
        <v>16</v>
      </c>
      <c r="I95" s="1">
        <v>90.9</v>
      </c>
      <c r="J95" s="1">
        <v>1.64</v>
      </c>
      <c r="K95" s="1">
        <v>0</v>
      </c>
      <c r="L95" s="1">
        <v>4.5</v>
      </c>
      <c r="M95" s="1">
        <v>753473.55</v>
      </c>
      <c r="N95" s="1">
        <v>151527.22</v>
      </c>
    </row>
    <row r="96" spans="1:14">
      <c r="A96" s="1" t="s">
        <v>45</v>
      </c>
      <c r="B96" s="3">
        <v>45717</v>
      </c>
      <c r="C96" s="1" t="s">
        <v>27</v>
      </c>
      <c r="D96" s="1" t="s">
        <v>16</v>
      </c>
      <c r="E96" s="1">
        <v>86421.88</v>
      </c>
      <c r="F96" s="1">
        <v>7970</v>
      </c>
      <c r="G96" s="1">
        <v>7.2999999999999995E-2</v>
      </c>
      <c r="H96" s="1">
        <v>17</v>
      </c>
      <c r="I96" s="1">
        <v>91.3</v>
      </c>
      <c r="J96" s="1">
        <v>0.8</v>
      </c>
      <c r="K96" s="1">
        <v>0</v>
      </c>
      <c r="L96" s="1">
        <v>5</v>
      </c>
      <c r="M96" s="1">
        <v>838250.32</v>
      </c>
      <c r="N96" s="1">
        <v>122939.34</v>
      </c>
    </row>
    <row r="97" spans="1:14">
      <c r="A97" s="1" t="s">
        <v>45</v>
      </c>
      <c r="B97" s="3">
        <v>45748</v>
      </c>
      <c r="C97" s="1" t="s">
        <v>27</v>
      </c>
      <c r="D97" s="1" t="s">
        <v>16</v>
      </c>
      <c r="E97" s="1">
        <v>9534.65</v>
      </c>
      <c r="F97" s="1">
        <v>6057</v>
      </c>
      <c r="G97" s="1">
        <v>7.3999999999999996E-2</v>
      </c>
      <c r="H97" s="1">
        <v>15</v>
      </c>
      <c r="I97" s="1">
        <v>94.1</v>
      </c>
      <c r="J97" s="1">
        <v>5.79</v>
      </c>
      <c r="K97" s="1">
        <v>0</v>
      </c>
      <c r="L97" s="1">
        <v>4.5</v>
      </c>
      <c r="M97" s="1">
        <v>607898.12</v>
      </c>
      <c r="N97" s="1">
        <v>135404.85</v>
      </c>
    </row>
    <row r="98" spans="1:14">
      <c r="A98" s="1" t="s">
        <v>46</v>
      </c>
      <c r="B98" s="3">
        <v>45658</v>
      </c>
      <c r="C98" s="1" t="s">
        <v>27</v>
      </c>
      <c r="D98" s="1" t="s">
        <v>28</v>
      </c>
      <c r="E98" s="1">
        <v>61132.07</v>
      </c>
      <c r="F98" s="1">
        <v>6394</v>
      </c>
      <c r="G98" s="1">
        <v>0.16300000000000001</v>
      </c>
      <c r="H98" s="1">
        <v>19</v>
      </c>
      <c r="I98" s="1">
        <v>91</v>
      </c>
      <c r="J98" s="1">
        <v>19.600000000000001</v>
      </c>
      <c r="K98" s="1">
        <v>0</v>
      </c>
      <c r="L98" s="1">
        <v>4.4000000000000004</v>
      </c>
      <c r="M98" s="1">
        <v>691113.62</v>
      </c>
      <c r="N98" s="1">
        <v>135145.44</v>
      </c>
    </row>
    <row r="99" spans="1:14">
      <c r="A99" s="1" t="s">
        <v>46</v>
      </c>
      <c r="B99" s="3">
        <v>45689</v>
      </c>
      <c r="C99" s="1" t="s">
        <v>27</v>
      </c>
      <c r="D99" s="1" t="s">
        <v>28</v>
      </c>
      <c r="E99" s="1">
        <v>78839.39</v>
      </c>
      <c r="F99" s="1">
        <v>5150</v>
      </c>
      <c r="G99" s="1">
        <v>0.17100000000000001</v>
      </c>
      <c r="H99" s="1">
        <v>13</v>
      </c>
      <c r="I99" s="1">
        <v>85.8</v>
      </c>
      <c r="J99" s="1">
        <v>7.57</v>
      </c>
      <c r="K99" s="1">
        <v>0</v>
      </c>
      <c r="L99" s="1">
        <v>4.3</v>
      </c>
      <c r="M99" s="1">
        <v>735509.4</v>
      </c>
      <c r="N99" s="1">
        <v>83895.96</v>
      </c>
    </row>
    <row r="100" spans="1:14">
      <c r="A100" s="1" t="s">
        <v>46</v>
      </c>
      <c r="B100" s="3">
        <v>45717</v>
      </c>
      <c r="C100" s="1" t="s">
        <v>27</v>
      </c>
      <c r="D100" s="1" t="s">
        <v>28</v>
      </c>
      <c r="E100" s="1">
        <v>38752.800000000003</v>
      </c>
      <c r="F100" s="1">
        <v>4712</v>
      </c>
      <c r="G100" s="1">
        <v>7.4999999999999997E-2</v>
      </c>
      <c r="H100" s="1">
        <v>15</v>
      </c>
      <c r="I100" s="1">
        <v>89.7</v>
      </c>
      <c r="J100" s="1"/>
      <c r="K100" s="1">
        <v>0</v>
      </c>
      <c r="L100" s="1">
        <v>4.3</v>
      </c>
      <c r="M100" s="1">
        <v>605775.32999999996</v>
      </c>
      <c r="N100" s="1">
        <v>107194.6</v>
      </c>
    </row>
    <row r="101" spans="1:14">
      <c r="A101" s="1" t="s">
        <v>46</v>
      </c>
      <c r="B101" s="3">
        <v>45748</v>
      </c>
      <c r="C101" s="1" t="s">
        <v>27</v>
      </c>
      <c r="D101" s="1" t="s">
        <v>28</v>
      </c>
      <c r="E101" s="1">
        <v>55101.1</v>
      </c>
      <c r="F101" s="1">
        <v>5281</v>
      </c>
      <c r="G101" s="1">
        <v>0.189</v>
      </c>
      <c r="H101" s="1">
        <v>11</v>
      </c>
      <c r="I101" s="1">
        <v>91</v>
      </c>
      <c r="J101" s="1">
        <v>2.7</v>
      </c>
      <c r="K101" s="1">
        <v>0</v>
      </c>
      <c r="L101" s="1">
        <v>4.4000000000000004</v>
      </c>
      <c r="M101" s="1">
        <v>675177.68</v>
      </c>
      <c r="N101" s="1">
        <v>105628.68</v>
      </c>
    </row>
    <row r="102" spans="1:14">
      <c r="A102" s="1" t="s">
        <v>47</v>
      </c>
      <c r="B102" s="3">
        <v>45658</v>
      </c>
      <c r="C102" s="1" t="s">
        <v>15</v>
      </c>
      <c r="D102" s="1" t="s">
        <v>28</v>
      </c>
      <c r="E102" s="1">
        <v>53084.76</v>
      </c>
      <c r="F102" s="1">
        <v>3642</v>
      </c>
      <c r="G102" s="1">
        <v>0.15</v>
      </c>
      <c r="H102" s="1">
        <v>12</v>
      </c>
      <c r="I102" s="1">
        <v>91.4</v>
      </c>
      <c r="J102" s="1">
        <v>0.2</v>
      </c>
      <c r="K102" s="1">
        <v>0</v>
      </c>
      <c r="L102" s="1">
        <v>4.4000000000000004</v>
      </c>
      <c r="M102" s="1">
        <v>635181.35</v>
      </c>
      <c r="N102" s="1">
        <v>83341.25</v>
      </c>
    </row>
    <row r="103" spans="1:14">
      <c r="A103" s="1" t="s">
        <v>47</v>
      </c>
      <c r="B103" s="3">
        <v>45689</v>
      </c>
      <c r="C103" s="1" t="s">
        <v>15</v>
      </c>
      <c r="D103" s="1" t="s">
        <v>28</v>
      </c>
      <c r="E103" s="1">
        <v>63101.59</v>
      </c>
      <c r="F103" s="1">
        <v>4373</v>
      </c>
      <c r="G103" s="1">
        <v>0.17299999999999999</v>
      </c>
      <c r="H103" s="1">
        <v>14</v>
      </c>
      <c r="I103" s="1">
        <v>90.4</v>
      </c>
      <c r="J103" s="1">
        <v>7.87</v>
      </c>
      <c r="K103" s="1">
        <v>0</v>
      </c>
      <c r="L103" s="1">
        <v>4.7</v>
      </c>
      <c r="M103" s="1">
        <v>586626.93999999994</v>
      </c>
      <c r="N103" s="1">
        <v>86498.55</v>
      </c>
    </row>
    <row r="104" spans="1:14">
      <c r="A104" s="1" t="s">
        <v>47</v>
      </c>
      <c r="B104" s="3">
        <v>45717</v>
      </c>
      <c r="C104" s="1" t="s">
        <v>15</v>
      </c>
      <c r="D104" s="1" t="s">
        <v>28</v>
      </c>
      <c r="E104" s="1">
        <v>90084.4</v>
      </c>
      <c r="F104" s="1">
        <v>6832</v>
      </c>
      <c r="G104" s="1">
        <v>0.185</v>
      </c>
      <c r="H104" s="1">
        <v>14</v>
      </c>
      <c r="I104" s="1">
        <v>80.5</v>
      </c>
      <c r="J104" s="1">
        <v>0.77</v>
      </c>
      <c r="K104" s="1">
        <v>1</v>
      </c>
      <c r="L104" s="1">
        <v>4.4000000000000004</v>
      </c>
      <c r="M104" s="1">
        <v>740102.64</v>
      </c>
      <c r="N104" s="1">
        <v>114299.07</v>
      </c>
    </row>
    <row r="105" spans="1:14">
      <c r="A105" s="1" t="s">
        <v>47</v>
      </c>
      <c r="B105" s="3">
        <v>45748</v>
      </c>
      <c r="C105" s="1" t="s">
        <v>15</v>
      </c>
      <c r="D105" s="1" t="s">
        <v>28</v>
      </c>
      <c r="E105" s="1">
        <v>32266.639999999999</v>
      </c>
      <c r="F105" s="1">
        <v>2414</v>
      </c>
      <c r="G105" s="1">
        <v>0.08</v>
      </c>
      <c r="H105" s="1">
        <v>7</v>
      </c>
      <c r="I105" s="1">
        <v>92.1</v>
      </c>
      <c r="J105" s="1">
        <v>1.48</v>
      </c>
      <c r="K105" s="1">
        <v>0</v>
      </c>
      <c r="L105" s="1">
        <v>5</v>
      </c>
      <c r="M105" s="1">
        <v>625514.04</v>
      </c>
      <c r="N105" s="1">
        <v>120685.08</v>
      </c>
    </row>
    <row r="106" spans="1:14">
      <c r="A106" s="1" t="s">
        <v>48</v>
      </c>
      <c r="B106" s="3">
        <v>45658</v>
      </c>
      <c r="C106" s="1" t="s">
        <v>27</v>
      </c>
      <c r="D106" s="1" t="s">
        <v>18</v>
      </c>
      <c r="E106" s="1">
        <v>57919.07</v>
      </c>
      <c r="F106" s="1">
        <v>7374</v>
      </c>
      <c r="G106" s="1">
        <v>0.10299999999999999</v>
      </c>
      <c r="H106" s="1">
        <v>21</v>
      </c>
      <c r="I106" s="1">
        <v>82.3</v>
      </c>
      <c r="J106" s="1">
        <v>2.87</v>
      </c>
      <c r="K106" s="1">
        <v>0</v>
      </c>
      <c r="L106" s="1">
        <v>2.9</v>
      </c>
      <c r="M106" s="1">
        <v>727227.2</v>
      </c>
      <c r="N106" s="1">
        <v>121292.01</v>
      </c>
    </row>
    <row r="107" spans="1:14">
      <c r="A107" s="1" t="s">
        <v>48</v>
      </c>
      <c r="B107" s="3">
        <v>45689</v>
      </c>
      <c r="C107" s="1" t="s">
        <v>27</v>
      </c>
      <c r="D107" s="1" t="s">
        <v>18</v>
      </c>
      <c r="E107" s="1">
        <v>74679.350000000006</v>
      </c>
      <c r="F107" s="1">
        <v>8739</v>
      </c>
      <c r="G107" s="1">
        <v>5.6000000000000001E-2</v>
      </c>
      <c r="H107" s="1">
        <v>21</v>
      </c>
      <c r="I107" s="1">
        <v>91.8</v>
      </c>
      <c r="J107" s="1">
        <v>2.83</v>
      </c>
      <c r="K107" s="1">
        <v>0</v>
      </c>
      <c r="L107" s="1">
        <v>3</v>
      </c>
      <c r="M107" s="1">
        <v>783797.89</v>
      </c>
      <c r="N107" s="1">
        <v>157620.70000000001</v>
      </c>
    </row>
    <row r="108" spans="1:14">
      <c r="A108" s="1" t="s">
        <v>48</v>
      </c>
      <c r="B108" s="3">
        <v>45717</v>
      </c>
      <c r="C108" s="1" t="s">
        <v>27</v>
      </c>
      <c r="D108" s="1" t="s">
        <v>18</v>
      </c>
      <c r="E108" s="1">
        <v>64294.23</v>
      </c>
      <c r="F108" s="1">
        <v>6992</v>
      </c>
      <c r="G108" s="1">
        <v>0.13300000000000001</v>
      </c>
      <c r="H108" s="1">
        <v>14</v>
      </c>
      <c r="I108" s="1">
        <v>94.1</v>
      </c>
      <c r="J108" s="1">
        <v>0.25</v>
      </c>
      <c r="K108" s="1">
        <v>0</v>
      </c>
      <c r="L108" s="1">
        <v>3</v>
      </c>
      <c r="M108" s="1">
        <v>795153.84</v>
      </c>
      <c r="N108" s="1">
        <v>143194.21</v>
      </c>
    </row>
    <row r="109" spans="1:14">
      <c r="A109" s="1" t="s">
        <v>48</v>
      </c>
      <c r="B109" s="3">
        <v>45748</v>
      </c>
      <c r="C109" s="1" t="s">
        <v>27</v>
      </c>
      <c r="D109" s="1" t="s">
        <v>18</v>
      </c>
      <c r="E109" s="1">
        <v>31042.03</v>
      </c>
      <c r="F109" s="1">
        <v>7107</v>
      </c>
      <c r="G109" s="1">
        <v>5.0999999999999997E-2</v>
      </c>
      <c r="H109" s="1">
        <v>15</v>
      </c>
      <c r="I109" s="1">
        <v>87</v>
      </c>
      <c r="J109" s="1">
        <v>13.33</v>
      </c>
      <c r="K109" s="1">
        <v>0</v>
      </c>
      <c r="L109" s="1">
        <v>3.2</v>
      </c>
      <c r="M109" s="1">
        <v>665594.93999999994</v>
      </c>
      <c r="N109" s="1">
        <v>127597.34</v>
      </c>
    </row>
    <row r="110" spans="1:14">
      <c r="A110" s="1" t="s">
        <v>49</v>
      </c>
      <c r="B110" s="3">
        <v>45658</v>
      </c>
      <c r="C110" s="1" t="s">
        <v>15</v>
      </c>
      <c r="D110" s="1" t="s">
        <v>28</v>
      </c>
      <c r="E110" s="1">
        <v>75265.02</v>
      </c>
      <c r="F110" s="1">
        <v>6975</v>
      </c>
      <c r="G110" s="1">
        <v>0.157</v>
      </c>
      <c r="H110" s="1">
        <v>20</v>
      </c>
      <c r="I110" s="1">
        <v>73.8</v>
      </c>
      <c r="J110" s="1">
        <v>6.35</v>
      </c>
      <c r="K110" s="1">
        <v>1</v>
      </c>
      <c r="L110" s="1">
        <v>3.8</v>
      </c>
      <c r="M110" s="1">
        <v>709478.39</v>
      </c>
      <c r="N110" s="1">
        <v>71294.27</v>
      </c>
    </row>
    <row r="111" spans="1:14">
      <c r="A111" s="1" t="s">
        <v>49</v>
      </c>
      <c r="B111" s="3">
        <v>45689</v>
      </c>
      <c r="C111" s="1" t="s">
        <v>15</v>
      </c>
      <c r="D111" s="1" t="s">
        <v>28</v>
      </c>
      <c r="E111" s="1">
        <v>69411.7</v>
      </c>
      <c r="F111" s="1">
        <v>5493</v>
      </c>
      <c r="G111" s="1">
        <v>0.29199999999999998</v>
      </c>
      <c r="H111" s="1">
        <v>13</v>
      </c>
      <c r="I111" s="1">
        <v>86.5</v>
      </c>
      <c r="J111" s="1">
        <v>6.69</v>
      </c>
      <c r="K111" s="1">
        <v>0</v>
      </c>
      <c r="L111" s="1">
        <v>3.8</v>
      </c>
      <c r="M111" s="1">
        <v>664162.49</v>
      </c>
      <c r="N111" s="1">
        <v>98291.06</v>
      </c>
    </row>
    <row r="112" spans="1:14">
      <c r="A112" s="1" t="s">
        <v>49</v>
      </c>
      <c r="B112" s="3">
        <v>45717</v>
      </c>
      <c r="C112" s="1" t="s">
        <v>15</v>
      </c>
      <c r="D112" s="1" t="s">
        <v>28</v>
      </c>
      <c r="E112" s="1">
        <v>51056.15</v>
      </c>
      <c r="F112" s="1">
        <v>5686</v>
      </c>
      <c r="G112" s="1">
        <v>8.8999999999999996E-2</v>
      </c>
      <c r="H112" s="1">
        <v>13</v>
      </c>
      <c r="I112" s="1">
        <v>89.9</v>
      </c>
      <c r="J112" s="1">
        <v>1.28</v>
      </c>
      <c r="K112" s="1">
        <v>0</v>
      </c>
      <c r="L112" s="1">
        <v>4.2</v>
      </c>
      <c r="M112" s="1">
        <v>633494.21</v>
      </c>
      <c r="N112" s="1">
        <v>105739.47</v>
      </c>
    </row>
    <row r="113" spans="1:14">
      <c r="A113" s="1" t="s">
        <v>49</v>
      </c>
      <c r="B113" s="3">
        <v>45748</v>
      </c>
      <c r="C113" s="1" t="s">
        <v>15</v>
      </c>
      <c r="D113" s="1" t="s">
        <v>28</v>
      </c>
      <c r="E113" s="1">
        <v>52758.01</v>
      </c>
      <c r="F113" s="1">
        <v>4063</v>
      </c>
      <c r="G113" s="1">
        <v>5.7000000000000002E-2</v>
      </c>
      <c r="H113" s="1">
        <v>12</v>
      </c>
      <c r="I113" s="1">
        <v>91.7</v>
      </c>
      <c r="J113" s="1">
        <v>0.92</v>
      </c>
      <c r="K113" s="1">
        <v>0</v>
      </c>
      <c r="L113" s="1">
        <v>3.5</v>
      </c>
      <c r="M113" s="1">
        <v>713611.16</v>
      </c>
      <c r="N113" s="1">
        <v>129717.18</v>
      </c>
    </row>
    <row r="114" spans="1:14">
      <c r="A114" s="1" t="s">
        <v>50</v>
      </c>
      <c r="B114" s="3">
        <v>45658</v>
      </c>
      <c r="C114" s="1" t="s">
        <v>27</v>
      </c>
      <c r="D114" s="1" t="s">
        <v>28</v>
      </c>
      <c r="E114" s="1">
        <v>61426.04</v>
      </c>
      <c r="F114" s="1">
        <v>8966</v>
      </c>
      <c r="G114" s="1">
        <v>0.17299999999999999</v>
      </c>
      <c r="H114" s="1">
        <v>22</v>
      </c>
      <c r="I114" s="1">
        <v>76.400000000000006</v>
      </c>
      <c r="J114" s="1">
        <v>1.05</v>
      </c>
      <c r="K114" s="1">
        <v>0</v>
      </c>
      <c r="L114" s="1">
        <v>3.1</v>
      </c>
      <c r="M114" s="1">
        <v>778397.97</v>
      </c>
      <c r="N114" s="1">
        <v>120044.41</v>
      </c>
    </row>
    <row r="115" spans="1:14">
      <c r="A115" s="1" t="s">
        <v>50</v>
      </c>
      <c r="B115" s="3">
        <v>45689</v>
      </c>
      <c r="C115" s="1" t="s">
        <v>27</v>
      </c>
      <c r="D115" s="1" t="s">
        <v>28</v>
      </c>
      <c r="E115" s="1">
        <v>80176.34</v>
      </c>
      <c r="F115" s="1">
        <v>9489</v>
      </c>
      <c r="G115" s="1">
        <v>0.14199999999999999</v>
      </c>
      <c r="H115" s="1">
        <v>22</v>
      </c>
      <c r="I115" s="1">
        <v>94.3</v>
      </c>
      <c r="J115" s="1">
        <v>2.67</v>
      </c>
      <c r="K115" s="1">
        <v>0</v>
      </c>
      <c r="L115" s="1">
        <v>3.5</v>
      </c>
      <c r="M115" s="1">
        <v>873380.02</v>
      </c>
      <c r="N115" s="1">
        <v>149734.76</v>
      </c>
    </row>
    <row r="116" spans="1:14">
      <c r="A116" s="1" t="s">
        <v>50</v>
      </c>
      <c r="B116" s="3">
        <v>45717</v>
      </c>
      <c r="C116" s="1" t="s">
        <v>27</v>
      </c>
      <c r="D116" s="1" t="s">
        <v>28</v>
      </c>
      <c r="E116" s="1">
        <v>33605.18</v>
      </c>
      <c r="F116" s="1">
        <v>9225</v>
      </c>
      <c r="G116" s="1">
        <v>0.159</v>
      </c>
      <c r="H116" s="1">
        <v>23</v>
      </c>
      <c r="I116" s="1">
        <v>88.4</v>
      </c>
      <c r="J116" s="1">
        <v>5.91</v>
      </c>
      <c r="K116" s="1">
        <v>0</v>
      </c>
      <c r="L116" s="1">
        <v>2.8</v>
      </c>
      <c r="M116" s="1">
        <v>697287.9</v>
      </c>
      <c r="N116" s="1">
        <v>128208.33</v>
      </c>
    </row>
    <row r="117" spans="1:14">
      <c r="A117" s="1" t="s">
        <v>50</v>
      </c>
      <c r="B117" s="3">
        <v>45748</v>
      </c>
      <c r="C117" s="1" t="s">
        <v>27</v>
      </c>
      <c r="D117" s="1" t="s">
        <v>28</v>
      </c>
      <c r="E117" s="1">
        <v>25990.54</v>
      </c>
      <c r="F117" s="1">
        <v>9249</v>
      </c>
      <c r="G117" s="1">
        <v>0.13900000000000001</v>
      </c>
      <c r="H117" s="1">
        <v>23</v>
      </c>
      <c r="I117" s="1">
        <v>92.5</v>
      </c>
      <c r="J117" s="1">
        <v>6.37</v>
      </c>
      <c r="K117" s="1">
        <v>0</v>
      </c>
      <c r="L117" s="1">
        <v>3.3</v>
      </c>
      <c r="M117" s="1">
        <v>718074.79</v>
      </c>
      <c r="N117" s="1">
        <v>115819.87</v>
      </c>
    </row>
    <row r="118" spans="1:14">
      <c r="A118" s="1" t="s">
        <v>51</v>
      </c>
      <c r="B118" s="3">
        <v>45658</v>
      </c>
      <c r="C118" s="1" t="s">
        <v>27</v>
      </c>
      <c r="D118" s="1" t="s">
        <v>16</v>
      </c>
      <c r="E118" s="1">
        <v>43685.14</v>
      </c>
      <c r="F118" s="1">
        <v>7821</v>
      </c>
      <c r="G118" s="1">
        <v>0.19</v>
      </c>
      <c r="H118" s="1">
        <v>17</v>
      </c>
      <c r="I118" s="1">
        <v>91</v>
      </c>
      <c r="J118" s="1">
        <v>2.4900000000000002</v>
      </c>
      <c r="K118" s="1">
        <v>1</v>
      </c>
      <c r="L118" s="1">
        <v>4.7</v>
      </c>
      <c r="M118" s="1">
        <v>714942.43</v>
      </c>
      <c r="N118" s="1">
        <v>94697.71</v>
      </c>
    </row>
    <row r="119" spans="1:14">
      <c r="A119" s="1" t="s">
        <v>51</v>
      </c>
      <c r="B119" s="3">
        <v>45689</v>
      </c>
      <c r="C119" s="1" t="s">
        <v>27</v>
      </c>
      <c r="D119" s="1" t="s">
        <v>16</v>
      </c>
      <c r="E119" s="1">
        <v>57360.01</v>
      </c>
      <c r="F119" s="1">
        <v>8434</v>
      </c>
      <c r="G119" s="1">
        <v>0.151</v>
      </c>
      <c r="H119" s="1">
        <v>19</v>
      </c>
      <c r="I119" s="1">
        <v>84.1</v>
      </c>
      <c r="J119" s="1">
        <v>1.56</v>
      </c>
      <c r="K119" s="1">
        <v>0</v>
      </c>
      <c r="L119" s="1">
        <v>4.7</v>
      </c>
      <c r="M119" s="1">
        <v>820519.04</v>
      </c>
      <c r="N119" s="1">
        <v>99035.88</v>
      </c>
    </row>
    <row r="120" spans="1:14">
      <c r="A120" s="1" t="s">
        <v>51</v>
      </c>
      <c r="B120" s="3">
        <v>45717</v>
      </c>
      <c r="C120" s="1" t="s">
        <v>27</v>
      </c>
      <c r="D120" s="1" t="s">
        <v>16</v>
      </c>
      <c r="E120" s="1">
        <v>42415.47</v>
      </c>
      <c r="F120" s="1">
        <v>8512</v>
      </c>
      <c r="G120" s="1">
        <v>0.13300000000000001</v>
      </c>
      <c r="H120" s="1">
        <v>18</v>
      </c>
      <c r="I120" s="1">
        <v>96.8</v>
      </c>
      <c r="J120" s="1">
        <v>14.95</v>
      </c>
      <c r="K120" s="1">
        <v>0</v>
      </c>
      <c r="L120" s="1">
        <v>4.5999999999999996</v>
      </c>
      <c r="M120" s="1">
        <v>684217.32</v>
      </c>
      <c r="N120" s="1">
        <v>136217.19</v>
      </c>
    </row>
    <row r="121" spans="1:14">
      <c r="A121" s="1" t="s">
        <v>51</v>
      </c>
      <c r="B121" s="3">
        <v>45748</v>
      </c>
      <c r="C121" s="1" t="s">
        <v>27</v>
      </c>
      <c r="D121" s="1" t="s">
        <v>16</v>
      </c>
      <c r="E121" s="1">
        <v>54968.98</v>
      </c>
      <c r="F121" s="1">
        <v>7816</v>
      </c>
      <c r="G121" s="1">
        <v>0.23200000000000001</v>
      </c>
      <c r="H121" s="1">
        <v>19</v>
      </c>
      <c r="I121" s="1">
        <v>95.7</v>
      </c>
      <c r="J121" s="1">
        <v>7.85</v>
      </c>
      <c r="K121" s="1">
        <v>0</v>
      </c>
      <c r="L121" s="1">
        <v>4.7</v>
      </c>
      <c r="M121" s="1">
        <v>735480.19</v>
      </c>
      <c r="N121" s="1">
        <v>88342.11</v>
      </c>
    </row>
    <row r="122" spans="1:14">
      <c r="A122" s="1" t="s">
        <v>52</v>
      </c>
      <c r="B122" s="3">
        <v>45658</v>
      </c>
      <c r="C122" s="1" t="s">
        <v>20</v>
      </c>
      <c r="D122" s="1" t="s">
        <v>18</v>
      </c>
      <c r="E122" s="1">
        <v>43896.13</v>
      </c>
      <c r="F122" s="1">
        <v>3853</v>
      </c>
      <c r="G122" s="1">
        <v>8.7999999999999995E-2</v>
      </c>
      <c r="H122" s="1">
        <v>13</v>
      </c>
      <c r="I122" s="1">
        <v>83</v>
      </c>
      <c r="J122" s="1">
        <v>6.8</v>
      </c>
      <c r="K122" s="1">
        <v>0</v>
      </c>
      <c r="L122" s="1">
        <v>4.4000000000000004</v>
      </c>
      <c r="M122" s="1">
        <v>509484.81</v>
      </c>
      <c r="N122" s="1">
        <v>85742.36</v>
      </c>
    </row>
    <row r="123" spans="1:14">
      <c r="A123" s="1" t="s">
        <v>52</v>
      </c>
      <c r="B123" s="3">
        <v>45689</v>
      </c>
      <c r="C123" s="1" t="s">
        <v>20</v>
      </c>
      <c r="D123" s="1" t="s">
        <v>18</v>
      </c>
      <c r="E123" s="1">
        <v>83044.17</v>
      </c>
      <c r="F123" s="1">
        <v>3694</v>
      </c>
      <c r="G123" s="1">
        <v>0</v>
      </c>
      <c r="H123" s="1">
        <v>14</v>
      </c>
      <c r="I123" s="1">
        <v>89.4</v>
      </c>
      <c r="J123" s="1">
        <v>2.2000000000000002</v>
      </c>
      <c r="K123" s="1">
        <v>0</v>
      </c>
      <c r="L123" s="1">
        <v>3.7</v>
      </c>
      <c r="M123" s="1">
        <v>654317.09</v>
      </c>
      <c r="N123" s="1">
        <v>121446.89</v>
      </c>
    </row>
    <row r="124" spans="1:14">
      <c r="A124" s="1" t="s">
        <v>52</v>
      </c>
      <c r="B124" s="3">
        <v>45717</v>
      </c>
      <c r="C124" s="1" t="s">
        <v>20</v>
      </c>
      <c r="D124" s="1" t="s">
        <v>18</v>
      </c>
      <c r="E124" s="1">
        <v>48396.13</v>
      </c>
      <c r="F124" s="1">
        <v>4423</v>
      </c>
      <c r="G124" s="1">
        <v>6.9000000000000006E-2</v>
      </c>
      <c r="H124" s="1">
        <v>15</v>
      </c>
      <c r="I124" s="1">
        <v>85.7</v>
      </c>
      <c r="J124" s="1">
        <v>1.88</v>
      </c>
      <c r="K124" s="1">
        <v>0</v>
      </c>
      <c r="L124" s="1">
        <v>3.9</v>
      </c>
      <c r="M124" s="1">
        <v>557487.26</v>
      </c>
      <c r="N124" s="1">
        <v>76432.19</v>
      </c>
    </row>
    <row r="125" spans="1:14">
      <c r="A125" s="1" t="s">
        <v>52</v>
      </c>
      <c r="B125" s="3">
        <v>45748</v>
      </c>
      <c r="C125" s="1" t="s">
        <v>20</v>
      </c>
      <c r="D125" s="1" t="s">
        <v>18</v>
      </c>
      <c r="E125" s="1">
        <v>19063.48</v>
      </c>
      <c r="F125" s="1">
        <v>1906</v>
      </c>
      <c r="G125" s="1">
        <v>0.216</v>
      </c>
      <c r="H125" s="1">
        <v>10</v>
      </c>
      <c r="I125" s="1">
        <v>97.8</v>
      </c>
      <c r="J125" s="1">
        <v>15.79</v>
      </c>
      <c r="K125" s="1">
        <v>0</v>
      </c>
      <c r="L125" s="1">
        <v>4.4000000000000004</v>
      </c>
      <c r="M125" s="1">
        <v>441275.42</v>
      </c>
      <c r="N125" s="1">
        <v>58234.87</v>
      </c>
    </row>
    <row r="126" spans="1:14">
      <c r="A126" s="1" t="s">
        <v>53</v>
      </c>
      <c r="B126" s="3">
        <v>45658</v>
      </c>
      <c r="C126" s="1" t="s">
        <v>24</v>
      </c>
      <c r="D126" s="1" t="s">
        <v>18</v>
      </c>
      <c r="E126" s="1">
        <v>61541.21</v>
      </c>
      <c r="F126" s="1">
        <v>10396</v>
      </c>
      <c r="G126" s="1">
        <v>0.123</v>
      </c>
      <c r="H126" s="1">
        <v>25</v>
      </c>
      <c r="I126" s="1">
        <v>88.1</v>
      </c>
      <c r="J126" s="1">
        <v>2.34</v>
      </c>
      <c r="K126" s="1">
        <v>1</v>
      </c>
      <c r="L126" s="1">
        <v>4.8</v>
      </c>
      <c r="M126" s="1">
        <v>914544.17</v>
      </c>
      <c r="N126" s="1">
        <v>79831.73</v>
      </c>
    </row>
    <row r="127" spans="1:14">
      <c r="A127" s="1" t="s">
        <v>53</v>
      </c>
      <c r="B127" s="3">
        <v>45689</v>
      </c>
      <c r="C127" s="1" t="s">
        <v>24</v>
      </c>
      <c r="D127" s="1" t="s">
        <v>18</v>
      </c>
      <c r="E127" s="1">
        <v>44747</v>
      </c>
      <c r="F127" s="1">
        <v>11076</v>
      </c>
      <c r="G127" s="1">
        <v>0.17599999999999999</v>
      </c>
      <c r="H127" s="1">
        <v>27</v>
      </c>
      <c r="I127" s="1">
        <v>98.3</v>
      </c>
      <c r="J127" s="1">
        <v>0.54</v>
      </c>
      <c r="K127" s="1">
        <v>0</v>
      </c>
      <c r="L127" s="1">
        <v>4.4000000000000004</v>
      </c>
      <c r="M127" s="1">
        <v>842439.67</v>
      </c>
      <c r="N127" s="1">
        <v>169983.63</v>
      </c>
    </row>
    <row r="128" spans="1:14">
      <c r="A128" s="1" t="s">
        <v>53</v>
      </c>
      <c r="B128" s="3">
        <v>45717</v>
      </c>
      <c r="C128" s="1" t="s">
        <v>24</v>
      </c>
      <c r="D128" s="1" t="s">
        <v>18</v>
      </c>
      <c r="E128" s="1">
        <v>56517.9</v>
      </c>
      <c r="F128" s="1">
        <v>9574</v>
      </c>
      <c r="G128" s="1">
        <v>0.20399999999999999</v>
      </c>
      <c r="H128" s="1">
        <v>20</v>
      </c>
      <c r="I128" s="1">
        <v>88.2</v>
      </c>
      <c r="J128" s="1">
        <v>5.37</v>
      </c>
      <c r="K128" s="1">
        <v>1</v>
      </c>
      <c r="L128" s="1">
        <v>4.9000000000000004</v>
      </c>
      <c r="M128" s="1">
        <v>842157.92</v>
      </c>
      <c r="N128" s="1">
        <v>107348.22</v>
      </c>
    </row>
    <row r="129" spans="1:14">
      <c r="A129" s="1" t="s">
        <v>53</v>
      </c>
      <c r="B129" s="3">
        <v>45748</v>
      </c>
      <c r="C129" s="1" t="s">
        <v>24</v>
      </c>
      <c r="D129" s="1" t="s">
        <v>18</v>
      </c>
      <c r="E129" s="1">
        <v>37828.5</v>
      </c>
      <c r="F129" s="1">
        <v>8221</v>
      </c>
      <c r="G129" s="1">
        <v>9.6000000000000002E-2</v>
      </c>
      <c r="H129" s="1">
        <v>19</v>
      </c>
      <c r="I129" s="1">
        <v>81.5</v>
      </c>
      <c r="J129" s="1">
        <v>3.19</v>
      </c>
      <c r="K129" s="1">
        <v>0</v>
      </c>
      <c r="L129" s="1">
        <v>4.8</v>
      </c>
      <c r="M129" s="1">
        <v>697155.3</v>
      </c>
      <c r="N129" s="1">
        <v>136408.54</v>
      </c>
    </row>
    <row r="130" spans="1:14">
      <c r="A130" s="1" t="s">
        <v>54</v>
      </c>
      <c r="B130" s="3">
        <v>45658</v>
      </c>
      <c r="C130" s="1" t="s">
        <v>15</v>
      </c>
      <c r="D130" s="1" t="s">
        <v>18</v>
      </c>
      <c r="E130" s="1">
        <v>66250.53</v>
      </c>
      <c r="F130" s="1">
        <v>10618</v>
      </c>
      <c r="G130" s="1">
        <v>0.14199999999999999</v>
      </c>
      <c r="H130" s="1">
        <v>27</v>
      </c>
      <c r="I130" s="1">
        <v>88.3</v>
      </c>
      <c r="J130" s="1">
        <v>1.1000000000000001</v>
      </c>
      <c r="K130" s="1">
        <v>1</v>
      </c>
      <c r="L130" s="1">
        <v>4.4000000000000004</v>
      </c>
      <c r="M130" s="1">
        <v>849018.3</v>
      </c>
      <c r="N130" s="1">
        <v>149035.13</v>
      </c>
    </row>
    <row r="131" spans="1:14">
      <c r="A131" s="1" t="s">
        <v>54</v>
      </c>
      <c r="B131" s="3">
        <v>45689</v>
      </c>
      <c r="C131" s="1" t="s">
        <v>15</v>
      </c>
      <c r="D131" s="1" t="s">
        <v>18</v>
      </c>
      <c r="E131" s="1">
        <v>68410.929999999993</v>
      </c>
      <c r="F131" s="1">
        <v>10596</v>
      </c>
      <c r="G131" s="1">
        <v>0.20699999999999999</v>
      </c>
      <c r="H131" s="1">
        <v>25</v>
      </c>
      <c r="I131" s="1">
        <v>81.2</v>
      </c>
      <c r="J131" s="1">
        <v>0.21</v>
      </c>
      <c r="K131" s="1">
        <v>0</v>
      </c>
      <c r="L131" s="1">
        <v>4</v>
      </c>
      <c r="M131" s="1">
        <v>801830.35</v>
      </c>
      <c r="N131" s="1">
        <v>114875.32</v>
      </c>
    </row>
    <row r="132" spans="1:14">
      <c r="A132" s="1" t="s">
        <v>54</v>
      </c>
      <c r="B132" s="3">
        <v>45717</v>
      </c>
      <c r="C132" s="1" t="s">
        <v>15</v>
      </c>
      <c r="D132" s="1" t="s">
        <v>18</v>
      </c>
      <c r="E132" s="1">
        <v>50735.63</v>
      </c>
      <c r="F132" s="1">
        <v>9619</v>
      </c>
      <c r="G132" s="1">
        <v>0.14399999999999999</v>
      </c>
      <c r="H132" s="1">
        <v>19</v>
      </c>
      <c r="I132" s="1">
        <v>93.8</v>
      </c>
      <c r="J132" s="1">
        <v>5.12</v>
      </c>
      <c r="K132" s="1">
        <v>1</v>
      </c>
      <c r="L132" s="1">
        <v>4.5</v>
      </c>
      <c r="M132" s="1">
        <v>725235.28</v>
      </c>
      <c r="N132" s="1">
        <v>121632.24</v>
      </c>
    </row>
    <row r="133" spans="1:14">
      <c r="A133" s="1" t="s">
        <v>54</v>
      </c>
      <c r="B133" s="3">
        <v>45748</v>
      </c>
      <c r="C133" s="1" t="s">
        <v>15</v>
      </c>
      <c r="D133" s="1" t="s">
        <v>18</v>
      </c>
      <c r="E133" s="1">
        <v>66455.8</v>
      </c>
      <c r="F133" s="1">
        <v>10836</v>
      </c>
      <c r="G133" s="1">
        <v>8.8999999999999996E-2</v>
      </c>
      <c r="H133" s="1">
        <v>25</v>
      </c>
      <c r="I133" s="1">
        <v>85</v>
      </c>
      <c r="J133" s="1">
        <v>9.77</v>
      </c>
      <c r="K133" s="1">
        <v>0</v>
      </c>
      <c r="L133" s="1">
        <v>4.5</v>
      </c>
      <c r="M133" s="1">
        <v>811452.72</v>
      </c>
      <c r="N133" s="1">
        <v>131325.67000000001</v>
      </c>
    </row>
    <row r="134" spans="1:14">
      <c r="A134" s="1" t="s">
        <v>55</v>
      </c>
      <c r="B134" s="3">
        <v>45658</v>
      </c>
      <c r="C134" s="1" t="s">
        <v>20</v>
      </c>
      <c r="D134" s="1" t="s">
        <v>18</v>
      </c>
      <c r="E134" s="1">
        <v>70276.28</v>
      </c>
      <c r="F134" s="1">
        <v>3043</v>
      </c>
      <c r="G134" s="1">
        <v>7.9000000000000001E-2</v>
      </c>
      <c r="H134" s="1">
        <v>9</v>
      </c>
      <c r="I134" s="1">
        <v>87.9</v>
      </c>
      <c r="J134" s="1">
        <v>3.77</v>
      </c>
      <c r="K134" s="1">
        <v>0</v>
      </c>
      <c r="L134" s="1">
        <v>4.4000000000000004</v>
      </c>
      <c r="M134" s="1">
        <v>527300.13</v>
      </c>
      <c r="N134" s="1">
        <v>84197.87</v>
      </c>
    </row>
    <row r="135" spans="1:14">
      <c r="A135" s="1" t="s">
        <v>55</v>
      </c>
      <c r="B135" s="3">
        <v>45689</v>
      </c>
      <c r="C135" s="1" t="s">
        <v>20</v>
      </c>
      <c r="D135" s="1" t="s">
        <v>18</v>
      </c>
      <c r="E135" s="1">
        <v>22071.64</v>
      </c>
      <c r="F135" s="1">
        <v>1814</v>
      </c>
      <c r="G135" s="1">
        <v>0.19600000000000001</v>
      </c>
      <c r="H135" s="1">
        <v>8</v>
      </c>
      <c r="I135" s="1">
        <v>81.099999999999994</v>
      </c>
      <c r="J135" s="1">
        <v>0.78</v>
      </c>
      <c r="K135" s="1">
        <v>0</v>
      </c>
      <c r="L135" s="1"/>
      <c r="M135" s="1">
        <v>400831.65</v>
      </c>
      <c r="N135" s="1">
        <v>70979.31</v>
      </c>
    </row>
    <row r="136" spans="1:14">
      <c r="A136" s="1" t="s">
        <v>55</v>
      </c>
      <c r="B136" s="3">
        <v>45717</v>
      </c>
      <c r="C136" s="1" t="s">
        <v>20</v>
      </c>
      <c r="D136" s="1" t="s">
        <v>18</v>
      </c>
      <c r="E136" s="1">
        <v>52285.45</v>
      </c>
      <c r="F136" s="1">
        <v>3618</v>
      </c>
      <c r="G136" s="1">
        <v>8.5999999999999993E-2</v>
      </c>
      <c r="H136" s="1">
        <v>11</v>
      </c>
      <c r="I136" s="1">
        <v>95.6</v>
      </c>
      <c r="J136" s="1">
        <v>5.17</v>
      </c>
      <c r="K136" s="1">
        <v>1</v>
      </c>
      <c r="L136" s="1">
        <v>4.4000000000000004</v>
      </c>
      <c r="M136" s="1">
        <v>593247.25</v>
      </c>
      <c r="N136" s="1">
        <v>81240.289999999994</v>
      </c>
    </row>
    <row r="137" spans="1:14">
      <c r="A137" s="1" t="s">
        <v>55</v>
      </c>
      <c r="B137" s="3">
        <v>45748</v>
      </c>
      <c r="C137" s="1" t="s">
        <v>20</v>
      </c>
      <c r="D137" s="1" t="s">
        <v>18</v>
      </c>
      <c r="E137" s="1">
        <v>70366.759999999995</v>
      </c>
      <c r="F137" s="1">
        <v>1963</v>
      </c>
      <c r="G137" s="1">
        <v>0.182</v>
      </c>
      <c r="H137" s="1">
        <v>8</v>
      </c>
      <c r="I137" s="1">
        <v>89.8</v>
      </c>
      <c r="J137" s="1">
        <v>3.2</v>
      </c>
      <c r="K137" s="1">
        <v>0</v>
      </c>
      <c r="L137" s="1">
        <v>4.5999999999999996</v>
      </c>
      <c r="M137" s="1">
        <v>529075.94999999995</v>
      </c>
      <c r="N137" s="1">
        <v>95978.83</v>
      </c>
    </row>
    <row r="138" spans="1:14">
      <c r="A138" s="1" t="s">
        <v>56</v>
      </c>
      <c r="B138" s="3">
        <v>45658</v>
      </c>
      <c r="C138" s="1" t="s">
        <v>24</v>
      </c>
      <c r="D138" s="1" t="s">
        <v>16</v>
      </c>
      <c r="E138" s="1">
        <v>71320.66</v>
      </c>
      <c r="F138" s="1">
        <v>7888</v>
      </c>
      <c r="G138" s="1">
        <v>4.8000000000000001E-2</v>
      </c>
      <c r="H138" s="1">
        <v>20</v>
      </c>
      <c r="I138" s="1">
        <v>78.099999999999994</v>
      </c>
      <c r="J138" s="1">
        <v>3.4</v>
      </c>
      <c r="K138" s="1">
        <v>0</v>
      </c>
      <c r="L138" s="1"/>
      <c r="M138" s="1">
        <v>633638.03</v>
      </c>
      <c r="N138" s="1">
        <v>99402.01</v>
      </c>
    </row>
    <row r="139" spans="1:14">
      <c r="A139" s="1" t="s">
        <v>56</v>
      </c>
      <c r="B139" s="3">
        <v>45689</v>
      </c>
      <c r="C139" s="1" t="s">
        <v>24</v>
      </c>
      <c r="D139" s="1" t="s">
        <v>16</v>
      </c>
      <c r="E139" s="1">
        <v>75109.67</v>
      </c>
      <c r="F139" s="1">
        <v>6244</v>
      </c>
      <c r="G139" s="1">
        <v>7.9000000000000001E-2</v>
      </c>
      <c r="H139" s="1">
        <v>15</v>
      </c>
      <c r="I139" s="1">
        <v>96.3</v>
      </c>
      <c r="J139" s="1">
        <v>7.38</v>
      </c>
      <c r="K139" s="1">
        <v>0</v>
      </c>
      <c r="L139" s="1">
        <v>3.7</v>
      </c>
      <c r="M139" s="1">
        <v>743348.84</v>
      </c>
      <c r="N139" s="1">
        <v>104186.09</v>
      </c>
    </row>
    <row r="140" spans="1:14">
      <c r="A140" s="1" t="s">
        <v>56</v>
      </c>
      <c r="B140" s="3">
        <v>45717</v>
      </c>
      <c r="C140" s="1" t="s">
        <v>24</v>
      </c>
      <c r="D140" s="1" t="s">
        <v>16</v>
      </c>
      <c r="E140" s="1">
        <v>69779</v>
      </c>
      <c r="F140" s="1">
        <v>6544</v>
      </c>
      <c r="G140" s="1">
        <v>0.152</v>
      </c>
      <c r="H140" s="1">
        <v>18</v>
      </c>
      <c r="I140" s="1">
        <v>90.2</v>
      </c>
      <c r="J140" s="1">
        <v>0.85</v>
      </c>
      <c r="K140" s="1">
        <v>1</v>
      </c>
      <c r="L140" s="1">
        <v>3.3</v>
      </c>
      <c r="M140" s="1">
        <v>758827.64</v>
      </c>
      <c r="N140" s="1">
        <v>161439.48000000001</v>
      </c>
    </row>
    <row r="141" spans="1:14">
      <c r="A141" s="1" t="s">
        <v>56</v>
      </c>
      <c r="B141" s="3">
        <v>45748</v>
      </c>
      <c r="C141" s="1" t="s">
        <v>24</v>
      </c>
      <c r="D141" s="1" t="s">
        <v>16</v>
      </c>
      <c r="E141" s="1">
        <v>44211.95</v>
      </c>
      <c r="F141" s="1">
        <v>5465</v>
      </c>
      <c r="G141" s="1">
        <v>0.187</v>
      </c>
      <c r="H141" s="1">
        <v>12</v>
      </c>
      <c r="I141" s="1">
        <v>90</v>
      </c>
      <c r="J141" s="1">
        <v>2.89</v>
      </c>
      <c r="K141" s="1">
        <v>0</v>
      </c>
      <c r="L141" s="1">
        <v>3.6</v>
      </c>
      <c r="M141" s="1">
        <v>646559.71</v>
      </c>
      <c r="N141" s="1">
        <v>97981.75</v>
      </c>
    </row>
    <row r="142" spans="1:14">
      <c r="A142" s="1" t="s">
        <v>57</v>
      </c>
      <c r="B142" s="3">
        <v>45658</v>
      </c>
      <c r="C142" s="1" t="s">
        <v>27</v>
      </c>
      <c r="D142" s="1" t="s">
        <v>18</v>
      </c>
      <c r="E142" s="1">
        <v>51430.31</v>
      </c>
      <c r="F142" s="1">
        <v>6427</v>
      </c>
      <c r="G142" s="1">
        <v>0.23400000000000001</v>
      </c>
      <c r="H142" s="1">
        <v>14</v>
      </c>
      <c r="I142" s="1">
        <v>88.8</v>
      </c>
      <c r="J142" s="1">
        <v>0.77</v>
      </c>
      <c r="K142" s="1">
        <v>0</v>
      </c>
      <c r="L142" s="1">
        <v>4.0999999999999996</v>
      </c>
      <c r="M142" s="1">
        <v>715890.53</v>
      </c>
      <c r="N142" s="1">
        <v>109032.15</v>
      </c>
    </row>
    <row r="143" spans="1:14">
      <c r="A143" s="1" t="s">
        <v>57</v>
      </c>
      <c r="B143" s="3">
        <v>45689</v>
      </c>
      <c r="C143" s="1" t="s">
        <v>27</v>
      </c>
      <c r="D143" s="1" t="s">
        <v>18</v>
      </c>
      <c r="E143" s="1">
        <v>45706.49</v>
      </c>
      <c r="F143" s="1">
        <v>6704</v>
      </c>
      <c r="G143" s="1">
        <v>3.7999999999999999E-2</v>
      </c>
      <c r="H143" s="1">
        <v>15</v>
      </c>
      <c r="I143" s="1">
        <v>94.2</v>
      </c>
      <c r="J143" s="1">
        <v>2.92</v>
      </c>
      <c r="K143" s="1">
        <v>0</v>
      </c>
      <c r="L143" s="1">
        <v>4.2</v>
      </c>
      <c r="M143" s="1">
        <v>715097.57</v>
      </c>
      <c r="N143" s="1">
        <v>151875.85999999999</v>
      </c>
    </row>
    <row r="144" spans="1:14">
      <c r="A144" s="1" t="s">
        <v>57</v>
      </c>
      <c r="B144" s="3">
        <v>45717</v>
      </c>
      <c r="C144" s="1" t="s">
        <v>27</v>
      </c>
      <c r="D144" s="1" t="s">
        <v>18</v>
      </c>
      <c r="E144" s="1">
        <v>44034.6</v>
      </c>
      <c r="F144" s="1">
        <v>5645</v>
      </c>
      <c r="G144" s="1">
        <v>6.9000000000000006E-2</v>
      </c>
      <c r="H144" s="1">
        <v>18</v>
      </c>
      <c r="I144" s="1">
        <v>88.5</v>
      </c>
      <c r="J144" s="1">
        <v>3.07</v>
      </c>
      <c r="K144" s="1">
        <v>0</v>
      </c>
      <c r="L144" s="1">
        <v>3.8</v>
      </c>
      <c r="M144" s="1">
        <v>682639.28</v>
      </c>
      <c r="N144" s="1">
        <v>77557.53</v>
      </c>
    </row>
    <row r="145" spans="1:14">
      <c r="A145" s="1" t="s">
        <v>57</v>
      </c>
      <c r="B145" s="3">
        <v>45748</v>
      </c>
      <c r="C145" s="1" t="s">
        <v>27</v>
      </c>
      <c r="D145" s="1" t="s">
        <v>18</v>
      </c>
      <c r="E145" s="1">
        <v>50198.12</v>
      </c>
      <c r="F145" s="1">
        <v>6089</v>
      </c>
      <c r="G145" s="1">
        <v>0.182</v>
      </c>
      <c r="H145" s="1">
        <v>19</v>
      </c>
      <c r="I145" s="1">
        <v>94</v>
      </c>
      <c r="J145" s="1">
        <v>9.6999999999999993</v>
      </c>
      <c r="K145" s="1">
        <v>0</v>
      </c>
      <c r="L145" s="1">
        <v>3.9</v>
      </c>
      <c r="M145" s="1">
        <v>695098.51</v>
      </c>
      <c r="N145" s="1">
        <v>108192.75</v>
      </c>
    </row>
    <row r="146" spans="1:14">
      <c r="A146" s="1" t="s">
        <v>58</v>
      </c>
      <c r="B146" s="3">
        <v>45658</v>
      </c>
      <c r="C146" s="1" t="s">
        <v>20</v>
      </c>
      <c r="D146" s="1" t="s">
        <v>16</v>
      </c>
      <c r="E146" s="1">
        <v>70488.2</v>
      </c>
      <c r="F146" s="1">
        <v>4312</v>
      </c>
      <c r="G146" s="1">
        <v>0.16900000000000001</v>
      </c>
      <c r="H146" s="1">
        <v>12</v>
      </c>
      <c r="I146" s="1">
        <v>90.2</v>
      </c>
      <c r="J146" s="1">
        <v>3.71</v>
      </c>
      <c r="K146" s="1">
        <v>0</v>
      </c>
      <c r="L146" s="1">
        <v>3.2</v>
      </c>
      <c r="M146" s="1">
        <v>577732.56999999995</v>
      </c>
      <c r="N146" s="1">
        <v>93804.27</v>
      </c>
    </row>
    <row r="147" spans="1:14">
      <c r="A147" s="1" t="s">
        <v>58</v>
      </c>
      <c r="B147" s="3">
        <v>45689</v>
      </c>
      <c r="C147" s="1" t="s">
        <v>20</v>
      </c>
      <c r="D147" s="1" t="s">
        <v>16</v>
      </c>
      <c r="E147" s="1">
        <v>50909.27</v>
      </c>
      <c r="F147" s="1">
        <v>3152</v>
      </c>
      <c r="G147" s="1">
        <v>0.06</v>
      </c>
      <c r="H147" s="1">
        <v>13</v>
      </c>
      <c r="I147" s="1">
        <v>93.7</v>
      </c>
      <c r="J147" s="1">
        <v>10.79</v>
      </c>
      <c r="K147" s="1">
        <v>0</v>
      </c>
      <c r="L147" s="1">
        <v>3.5</v>
      </c>
      <c r="M147" s="1">
        <v>537058.32999999996</v>
      </c>
      <c r="N147" s="1">
        <v>93555.71</v>
      </c>
    </row>
    <row r="148" spans="1:14">
      <c r="A148" s="1" t="s">
        <v>58</v>
      </c>
      <c r="B148" s="3">
        <v>45717</v>
      </c>
      <c r="C148" s="1" t="s">
        <v>20</v>
      </c>
      <c r="D148" s="1" t="s">
        <v>16</v>
      </c>
      <c r="E148" s="1">
        <v>53351.7</v>
      </c>
      <c r="F148" s="1">
        <v>4259</v>
      </c>
      <c r="G148" s="1">
        <v>0.156</v>
      </c>
      <c r="H148" s="1">
        <v>15</v>
      </c>
      <c r="I148" s="1">
        <v>93.7</v>
      </c>
      <c r="J148" s="1">
        <v>6.03</v>
      </c>
      <c r="K148" s="1">
        <v>0</v>
      </c>
      <c r="L148" s="1">
        <v>3.4</v>
      </c>
      <c r="M148" s="1">
        <v>601568.87</v>
      </c>
      <c r="N148" s="1">
        <v>91634.82</v>
      </c>
    </row>
    <row r="149" spans="1:14">
      <c r="A149" s="1" t="s">
        <v>58</v>
      </c>
      <c r="B149" s="3">
        <v>45748</v>
      </c>
      <c r="C149" s="1" t="s">
        <v>20</v>
      </c>
      <c r="D149" s="1" t="s">
        <v>16</v>
      </c>
      <c r="E149" s="1">
        <v>60322.400000000001</v>
      </c>
      <c r="F149" s="1">
        <v>3350</v>
      </c>
      <c r="G149" s="1">
        <v>0.108</v>
      </c>
      <c r="H149" s="1">
        <v>12</v>
      </c>
      <c r="I149" s="1">
        <v>89.4</v>
      </c>
      <c r="J149" s="1">
        <v>4.92</v>
      </c>
      <c r="K149" s="1">
        <v>0</v>
      </c>
      <c r="L149" s="1">
        <v>3.4</v>
      </c>
      <c r="M149" s="1">
        <v>570964.84</v>
      </c>
      <c r="N149" s="1">
        <v>81331.070000000007</v>
      </c>
    </row>
    <row r="150" spans="1:14">
      <c r="A150" s="1" t="s">
        <v>59</v>
      </c>
      <c r="B150" s="3">
        <v>45658</v>
      </c>
      <c r="C150" s="1" t="s">
        <v>24</v>
      </c>
      <c r="D150" s="1" t="s">
        <v>28</v>
      </c>
      <c r="E150" s="1">
        <v>51575.68</v>
      </c>
      <c r="F150" s="1">
        <v>5329</v>
      </c>
      <c r="G150" s="1">
        <v>4.7E-2</v>
      </c>
      <c r="H150" s="1">
        <v>17</v>
      </c>
      <c r="I150" s="1">
        <v>88.1</v>
      </c>
      <c r="J150" s="1">
        <v>19.78</v>
      </c>
      <c r="K150" s="1">
        <v>0</v>
      </c>
      <c r="L150" s="1">
        <v>3.8</v>
      </c>
      <c r="M150" s="1">
        <v>614024.91</v>
      </c>
      <c r="N150" s="1">
        <v>84828.93</v>
      </c>
    </row>
    <row r="151" spans="1:14">
      <c r="A151" s="1" t="s">
        <v>59</v>
      </c>
      <c r="B151" s="3">
        <v>45689</v>
      </c>
      <c r="C151" s="1" t="s">
        <v>24</v>
      </c>
      <c r="D151" s="1" t="s">
        <v>28</v>
      </c>
      <c r="E151" s="1">
        <v>43319.94</v>
      </c>
      <c r="F151" s="1">
        <v>6551</v>
      </c>
      <c r="G151" s="1">
        <v>4.3999999999999997E-2</v>
      </c>
      <c r="H151" s="1">
        <v>13</v>
      </c>
      <c r="I151" s="1">
        <v>99</v>
      </c>
      <c r="J151" s="1">
        <v>5.45</v>
      </c>
      <c r="K151" s="1">
        <v>0</v>
      </c>
      <c r="L151" s="1">
        <v>4.0999999999999996</v>
      </c>
      <c r="M151" s="1">
        <v>712868.35</v>
      </c>
      <c r="N151" s="1">
        <v>133650.51</v>
      </c>
    </row>
    <row r="152" spans="1:14">
      <c r="A152" s="1" t="s">
        <v>59</v>
      </c>
      <c r="B152" s="3">
        <v>45717</v>
      </c>
      <c r="C152" s="1" t="s">
        <v>24</v>
      </c>
      <c r="D152" s="1" t="s">
        <v>28</v>
      </c>
      <c r="E152" s="1">
        <v>47093.55</v>
      </c>
      <c r="F152" s="1">
        <v>5550</v>
      </c>
      <c r="G152" s="1">
        <v>0.1</v>
      </c>
      <c r="H152" s="1">
        <v>12</v>
      </c>
      <c r="I152" s="1">
        <v>95</v>
      </c>
      <c r="J152" s="1">
        <v>2.33</v>
      </c>
      <c r="K152" s="1">
        <v>1</v>
      </c>
      <c r="L152" s="1">
        <v>3.7</v>
      </c>
      <c r="M152" s="1">
        <v>696744.15</v>
      </c>
      <c r="N152" s="1">
        <v>152230.09</v>
      </c>
    </row>
    <row r="153" spans="1:14">
      <c r="A153" s="1" t="s">
        <v>59</v>
      </c>
      <c r="B153" s="3">
        <v>45748</v>
      </c>
      <c r="C153" s="1" t="s">
        <v>24</v>
      </c>
      <c r="D153" s="1" t="s">
        <v>28</v>
      </c>
      <c r="E153" s="1">
        <v>71855.09</v>
      </c>
      <c r="F153" s="1">
        <v>5911</v>
      </c>
      <c r="G153" s="1">
        <v>0.19700000000000001</v>
      </c>
      <c r="H153" s="1">
        <v>15</v>
      </c>
      <c r="I153" s="1">
        <v>94.3</v>
      </c>
      <c r="J153" s="1">
        <v>3.55</v>
      </c>
      <c r="K153" s="1">
        <v>0</v>
      </c>
      <c r="L153" s="1">
        <v>4.0999999999999996</v>
      </c>
      <c r="M153" s="1">
        <v>725847.99</v>
      </c>
      <c r="N153" s="1">
        <v>122698.73</v>
      </c>
    </row>
    <row r="154" spans="1:14">
      <c r="A154" s="1" t="s">
        <v>60</v>
      </c>
      <c r="B154" s="3">
        <v>45658</v>
      </c>
      <c r="C154" s="1" t="s">
        <v>15</v>
      </c>
      <c r="D154" s="1" t="s">
        <v>18</v>
      </c>
      <c r="E154" s="1">
        <v>75645.23</v>
      </c>
      <c r="F154" s="1">
        <v>9674</v>
      </c>
      <c r="G154" s="1">
        <v>0.23400000000000001</v>
      </c>
      <c r="H154" s="1">
        <v>21</v>
      </c>
      <c r="I154" s="1">
        <v>87.4</v>
      </c>
      <c r="J154" s="1">
        <v>0.2</v>
      </c>
      <c r="K154" s="1">
        <v>0</v>
      </c>
      <c r="L154" s="1">
        <v>4.5</v>
      </c>
      <c r="M154" s="1">
        <v>785028.25</v>
      </c>
      <c r="N154" s="1">
        <v>110726.44</v>
      </c>
    </row>
    <row r="155" spans="1:14">
      <c r="A155" s="1" t="s">
        <v>60</v>
      </c>
      <c r="B155" s="3">
        <v>45689</v>
      </c>
      <c r="C155" s="1" t="s">
        <v>15</v>
      </c>
      <c r="D155" s="1" t="s">
        <v>18</v>
      </c>
      <c r="E155" s="1">
        <v>64374.75</v>
      </c>
      <c r="F155" s="1">
        <v>6740</v>
      </c>
      <c r="G155" s="1">
        <v>0.16900000000000001</v>
      </c>
      <c r="H155" s="1">
        <v>18</v>
      </c>
      <c r="I155" s="1">
        <v>87</v>
      </c>
      <c r="J155" s="1">
        <v>2.09</v>
      </c>
      <c r="K155" s="1">
        <v>0</v>
      </c>
      <c r="L155" s="1">
        <v>4.2</v>
      </c>
      <c r="M155" s="1">
        <v>698492.67</v>
      </c>
      <c r="N155" s="1">
        <v>117319.32</v>
      </c>
    </row>
    <row r="156" spans="1:14">
      <c r="A156" s="1" t="s">
        <v>60</v>
      </c>
      <c r="B156" s="3">
        <v>45717</v>
      </c>
      <c r="C156" s="1" t="s">
        <v>15</v>
      </c>
      <c r="D156" s="1" t="s">
        <v>18</v>
      </c>
      <c r="E156" s="1">
        <v>61433.84</v>
      </c>
      <c r="F156" s="1">
        <v>7745</v>
      </c>
      <c r="G156" s="1">
        <v>0.18</v>
      </c>
      <c r="H156" s="1">
        <v>16</v>
      </c>
      <c r="I156" s="1">
        <v>90.5</v>
      </c>
      <c r="J156" s="1">
        <v>2.2599999999999998</v>
      </c>
      <c r="K156" s="1">
        <v>0</v>
      </c>
      <c r="L156" s="1">
        <v>4.2</v>
      </c>
      <c r="M156" s="1">
        <v>685830.24</v>
      </c>
      <c r="N156" s="1">
        <v>128736.18</v>
      </c>
    </row>
    <row r="157" spans="1:14">
      <c r="A157" s="1" t="s">
        <v>60</v>
      </c>
      <c r="B157" s="3">
        <v>45748</v>
      </c>
      <c r="C157" s="1" t="s">
        <v>15</v>
      </c>
      <c r="D157" s="1" t="s">
        <v>18</v>
      </c>
      <c r="E157" s="1">
        <v>42698.14</v>
      </c>
      <c r="F157" s="1">
        <v>7693</v>
      </c>
      <c r="G157" s="1">
        <v>0.187</v>
      </c>
      <c r="H157" s="1">
        <v>19</v>
      </c>
      <c r="I157" s="1">
        <v>90.1</v>
      </c>
      <c r="J157" s="1">
        <v>0.44</v>
      </c>
      <c r="K157" s="1">
        <v>0</v>
      </c>
      <c r="L157" s="1">
        <v>4.4000000000000004</v>
      </c>
      <c r="M157" s="1">
        <v>702318.94</v>
      </c>
      <c r="N157" s="1">
        <v>112829.29</v>
      </c>
    </row>
    <row r="158" spans="1:14">
      <c r="A158" s="1" t="s">
        <v>61</v>
      </c>
      <c r="B158" s="3">
        <v>45658</v>
      </c>
      <c r="C158" s="1" t="s">
        <v>20</v>
      </c>
      <c r="D158" s="1" t="s">
        <v>28</v>
      </c>
      <c r="E158" s="1">
        <v>86883.31</v>
      </c>
      <c r="F158" s="1">
        <v>6424</v>
      </c>
      <c r="G158" s="1">
        <v>5.7000000000000002E-2</v>
      </c>
      <c r="H158" s="1">
        <v>19</v>
      </c>
      <c r="I158" s="1">
        <v>85.2</v>
      </c>
      <c r="J158" s="1">
        <v>3.08</v>
      </c>
      <c r="K158" s="1">
        <v>0</v>
      </c>
      <c r="L158" s="1">
        <v>3.9</v>
      </c>
      <c r="M158" s="1">
        <v>700078.32</v>
      </c>
      <c r="N158" s="1">
        <v>123707.58</v>
      </c>
    </row>
    <row r="159" spans="1:14">
      <c r="A159" s="1" t="s">
        <v>61</v>
      </c>
      <c r="B159" s="3">
        <v>45689</v>
      </c>
      <c r="C159" s="1" t="s">
        <v>20</v>
      </c>
      <c r="D159" s="1" t="s">
        <v>28</v>
      </c>
      <c r="E159" s="1">
        <v>41863.08</v>
      </c>
      <c r="F159" s="1">
        <v>5400</v>
      </c>
      <c r="G159" s="1">
        <v>0.114</v>
      </c>
      <c r="H159" s="1">
        <v>11</v>
      </c>
      <c r="I159" s="1">
        <v>91.6</v>
      </c>
      <c r="J159" s="1">
        <v>7.99</v>
      </c>
      <c r="K159" s="1">
        <v>0</v>
      </c>
      <c r="L159" s="1">
        <v>3</v>
      </c>
      <c r="M159" s="1">
        <v>602002.31999999995</v>
      </c>
      <c r="N159" s="1">
        <v>110453.28</v>
      </c>
    </row>
    <row r="160" spans="1:14">
      <c r="A160" s="1" t="s">
        <v>61</v>
      </c>
      <c r="B160" s="3">
        <v>45717</v>
      </c>
      <c r="C160" s="1" t="s">
        <v>20</v>
      </c>
      <c r="D160" s="1" t="s">
        <v>28</v>
      </c>
      <c r="E160" s="1">
        <v>56918.16</v>
      </c>
      <c r="F160" s="1">
        <v>7015</v>
      </c>
      <c r="G160" s="1">
        <v>0.158</v>
      </c>
      <c r="H160" s="1">
        <v>18</v>
      </c>
      <c r="I160" s="1">
        <v>74.2</v>
      </c>
      <c r="J160" s="1">
        <v>0.2</v>
      </c>
      <c r="K160" s="1">
        <v>0</v>
      </c>
      <c r="L160" s="1">
        <v>3.4</v>
      </c>
      <c r="M160" s="1">
        <v>724216.07</v>
      </c>
      <c r="N160" s="1">
        <v>100627.56</v>
      </c>
    </row>
    <row r="161" spans="1:14">
      <c r="A161" s="1" t="s">
        <v>61</v>
      </c>
      <c r="B161" s="3">
        <v>45748</v>
      </c>
      <c r="C161" s="1" t="s">
        <v>20</v>
      </c>
      <c r="D161" s="1" t="s">
        <v>28</v>
      </c>
      <c r="E161" s="1">
        <v>23254.57</v>
      </c>
      <c r="F161" s="1">
        <v>3847</v>
      </c>
      <c r="G161" s="1">
        <v>0.159</v>
      </c>
      <c r="H161" s="1">
        <v>12</v>
      </c>
      <c r="I161" s="1">
        <v>93</v>
      </c>
      <c r="J161" s="1">
        <v>5.46</v>
      </c>
      <c r="K161" s="1">
        <v>0</v>
      </c>
      <c r="L161" s="1">
        <v>3.3</v>
      </c>
      <c r="M161" s="1">
        <v>620973.03</v>
      </c>
      <c r="N161" s="1">
        <v>72303.850000000006</v>
      </c>
    </row>
    <row r="162" spans="1:14">
      <c r="A162" s="1" t="s">
        <v>62</v>
      </c>
      <c r="B162" s="3">
        <v>45658</v>
      </c>
      <c r="C162" s="1" t="s">
        <v>24</v>
      </c>
      <c r="D162" s="1" t="s">
        <v>18</v>
      </c>
      <c r="E162" s="1">
        <v>41443.410000000003</v>
      </c>
      <c r="F162" s="1">
        <v>7455</v>
      </c>
      <c r="G162" s="1">
        <v>0.17499999999999999</v>
      </c>
      <c r="H162" s="1">
        <v>16</v>
      </c>
      <c r="I162" s="1">
        <v>90.1</v>
      </c>
      <c r="J162" s="1">
        <v>4.05</v>
      </c>
      <c r="K162" s="1">
        <v>0</v>
      </c>
      <c r="L162" s="1">
        <v>4</v>
      </c>
      <c r="M162" s="1">
        <v>650480.06000000006</v>
      </c>
      <c r="N162" s="1">
        <v>109012.07</v>
      </c>
    </row>
    <row r="163" spans="1:14">
      <c r="A163" s="1" t="s">
        <v>62</v>
      </c>
      <c r="B163" s="3">
        <v>45689</v>
      </c>
      <c r="C163" s="1" t="s">
        <v>24</v>
      </c>
      <c r="D163" s="1" t="s">
        <v>18</v>
      </c>
      <c r="E163" s="1">
        <v>48438.85</v>
      </c>
      <c r="F163" s="1">
        <v>6992</v>
      </c>
      <c r="G163" s="1">
        <v>3.4000000000000002E-2</v>
      </c>
      <c r="H163" s="1">
        <v>20</v>
      </c>
      <c r="I163" s="1">
        <v>91</v>
      </c>
      <c r="J163" s="1">
        <v>4.3600000000000003</v>
      </c>
      <c r="K163" s="1">
        <v>0</v>
      </c>
      <c r="L163" s="1">
        <v>4.2</v>
      </c>
      <c r="M163" s="1">
        <v>778298.88</v>
      </c>
      <c r="N163" s="1">
        <v>130076.72</v>
      </c>
    </row>
    <row r="164" spans="1:14">
      <c r="A164" s="1" t="s">
        <v>62</v>
      </c>
      <c r="B164" s="3">
        <v>45717</v>
      </c>
      <c r="C164" s="1" t="s">
        <v>24</v>
      </c>
      <c r="D164" s="1" t="s">
        <v>18</v>
      </c>
      <c r="E164" s="1">
        <v>57143.3</v>
      </c>
      <c r="F164" s="1">
        <v>8038</v>
      </c>
      <c r="G164" s="1">
        <v>0.193</v>
      </c>
      <c r="H164" s="1">
        <v>17</v>
      </c>
      <c r="I164" s="1">
        <v>72.599999999999994</v>
      </c>
      <c r="J164" s="1"/>
      <c r="K164" s="1">
        <v>0</v>
      </c>
      <c r="L164" s="1">
        <v>4.2</v>
      </c>
      <c r="M164" s="1">
        <v>677096.71</v>
      </c>
      <c r="N164" s="1">
        <v>97174.11</v>
      </c>
    </row>
    <row r="165" spans="1:14">
      <c r="A165" s="1" t="s">
        <v>62</v>
      </c>
      <c r="B165" s="3">
        <v>45748</v>
      </c>
      <c r="C165" s="1" t="s">
        <v>24</v>
      </c>
      <c r="D165" s="1" t="s">
        <v>18</v>
      </c>
      <c r="E165" s="1">
        <v>66870.62</v>
      </c>
      <c r="F165" s="1">
        <v>6055</v>
      </c>
      <c r="G165" s="1">
        <v>7.4999999999999997E-2</v>
      </c>
      <c r="H165" s="1">
        <v>19</v>
      </c>
      <c r="I165" s="1">
        <v>93.8</v>
      </c>
      <c r="J165" s="1">
        <v>0.54</v>
      </c>
      <c r="K165" s="1">
        <v>0</v>
      </c>
      <c r="L165" s="1">
        <v>4.3</v>
      </c>
      <c r="M165" s="1">
        <v>692008.64</v>
      </c>
      <c r="N165" s="1">
        <v>116337.87</v>
      </c>
    </row>
    <row r="166" spans="1:14">
      <c r="A166" s="1" t="s">
        <v>63</v>
      </c>
      <c r="B166" s="3">
        <v>45658</v>
      </c>
      <c r="C166" s="1" t="s">
        <v>20</v>
      </c>
      <c r="D166" s="1" t="s">
        <v>28</v>
      </c>
      <c r="E166" s="1">
        <v>72150.53</v>
      </c>
      <c r="F166" s="1">
        <v>9323</v>
      </c>
      <c r="G166" s="1">
        <v>0.157</v>
      </c>
      <c r="H166" s="1">
        <v>22</v>
      </c>
      <c r="I166" s="1">
        <v>82.9</v>
      </c>
      <c r="J166" s="1">
        <v>11.37</v>
      </c>
      <c r="K166" s="1">
        <v>1</v>
      </c>
      <c r="L166" s="1">
        <v>4.3</v>
      </c>
      <c r="M166" s="1">
        <v>825797.91</v>
      </c>
      <c r="N166" s="1">
        <v>130945.24</v>
      </c>
    </row>
    <row r="167" spans="1:14">
      <c r="A167" s="1" t="s">
        <v>63</v>
      </c>
      <c r="B167" s="3">
        <v>45689</v>
      </c>
      <c r="C167" s="1" t="s">
        <v>20</v>
      </c>
      <c r="D167" s="1" t="s">
        <v>28</v>
      </c>
      <c r="E167" s="1">
        <v>35303.300000000003</v>
      </c>
      <c r="F167" s="1">
        <v>8789</v>
      </c>
      <c r="G167" s="1">
        <v>0.123</v>
      </c>
      <c r="H167" s="1">
        <v>22</v>
      </c>
      <c r="I167" s="1">
        <v>86.1</v>
      </c>
      <c r="J167" s="1">
        <v>9.43</v>
      </c>
      <c r="K167" s="1">
        <v>0</v>
      </c>
      <c r="L167" s="1">
        <v>4.2</v>
      </c>
      <c r="M167" s="1">
        <v>706285.52</v>
      </c>
      <c r="N167" s="1">
        <v>138014.72</v>
      </c>
    </row>
    <row r="168" spans="1:14">
      <c r="A168" s="1" t="s">
        <v>63</v>
      </c>
      <c r="B168" s="3">
        <v>45717</v>
      </c>
      <c r="C168" s="1" t="s">
        <v>20</v>
      </c>
      <c r="D168" s="1" t="s">
        <v>28</v>
      </c>
      <c r="E168" s="1">
        <v>30301.86</v>
      </c>
      <c r="F168" s="1">
        <v>6939</v>
      </c>
      <c r="G168" s="1">
        <v>0.09</v>
      </c>
      <c r="H168" s="1">
        <v>16</v>
      </c>
      <c r="I168" s="1">
        <v>90.3</v>
      </c>
      <c r="J168" s="1">
        <v>3.49</v>
      </c>
      <c r="K168" s="1">
        <v>0</v>
      </c>
      <c r="L168" s="1">
        <v>4</v>
      </c>
      <c r="M168" s="1">
        <v>665534.69999999995</v>
      </c>
      <c r="N168" s="1">
        <v>113167.73</v>
      </c>
    </row>
    <row r="169" spans="1:14">
      <c r="A169" s="1" t="s">
        <v>63</v>
      </c>
      <c r="B169" s="3">
        <v>45748</v>
      </c>
      <c r="C169" s="1" t="s">
        <v>20</v>
      </c>
      <c r="D169" s="1" t="s">
        <v>28</v>
      </c>
      <c r="E169" s="1">
        <v>78432.14</v>
      </c>
      <c r="F169" s="1">
        <v>9440</v>
      </c>
      <c r="G169" s="1">
        <v>0.126</v>
      </c>
      <c r="H169" s="1">
        <v>23</v>
      </c>
      <c r="I169" s="1">
        <v>89.2</v>
      </c>
      <c r="J169" s="1">
        <v>7.86</v>
      </c>
      <c r="K169" s="1">
        <v>0</v>
      </c>
      <c r="L169" s="1">
        <v>4.0999999999999996</v>
      </c>
      <c r="M169" s="1">
        <v>820729.29</v>
      </c>
      <c r="N169" s="1">
        <v>159325.47</v>
      </c>
    </row>
    <row r="170" spans="1:14">
      <c r="A170" s="1" t="s">
        <v>64</v>
      </c>
      <c r="B170" s="3">
        <v>45658</v>
      </c>
      <c r="C170" s="1" t="s">
        <v>15</v>
      </c>
      <c r="D170" s="1" t="s">
        <v>16</v>
      </c>
      <c r="E170" s="1">
        <v>62059.18</v>
      </c>
      <c r="F170" s="1">
        <v>9374</v>
      </c>
      <c r="G170" s="1">
        <v>0.13600000000000001</v>
      </c>
      <c r="H170" s="1">
        <v>25</v>
      </c>
      <c r="I170" s="1">
        <v>87.1</v>
      </c>
      <c r="J170" s="1">
        <v>12.55</v>
      </c>
      <c r="K170" s="1">
        <v>0</v>
      </c>
      <c r="L170" s="1">
        <v>4.9000000000000004</v>
      </c>
      <c r="M170" s="1">
        <v>739831.73</v>
      </c>
      <c r="N170" s="1">
        <v>119490.21</v>
      </c>
    </row>
    <row r="171" spans="1:14">
      <c r="A171" s="1" t="s">
        <v>64</v>
      </c>
      <c r="B171" s="3">
        <v>45689</v>
      </c>
      <c r="C171" s="1" t="s">
        <v>15</v>
      </c>
      <c r="D171" s="1" t="s">
        <v>16</v>
      </c>
      <c r="E171" s="1">
        <v>32834.480000000003</v>
      </c>
      <c r="F171" s="1">
        <v>7576</v>
      </c>
      <c r="G171" s="1">
        <v>9.9000000000000005E-2</v>
      </c>
      <c r="H171" s="1">
        <v>15</v>
      </c>
      <c r="I171" s="1">
        <v>84.1</v>
      </c>
      <c r="J171" s="1">
        <v>3.48</v>
      </c>
      <c r="K171" s="1">
        <v>0</v>
      </c>
      <c r="L171" s="1">
        <v>5</v>
      </c>
      <c r="M171" s="1">
        <v>593637.14</v>
      </c>
      <c r="N171" s="1">
        <v>106648.14</v>
      </c>
    </row>
    <row r="172" spans="1:14">
      <c r="A172" s="1" t="s">
        <v>64</v>
      </c>
      <c r="B172" s="3">
        <v>45717</v>
      </c>
      <c r="C172" s="1" t="s">
        <v>15</v>
      </c>
      <c r="D172" s="1" t="s">
        <v>16</v>
      </c>
      <c r="E172" s="1">
        <v>50825.08</v>
      </c>
      <c r="F172" s="1">
        <v>8949</v>
      </c>
      <c r="G172" s="1">
        <v>0.157</v>
      </c>
      <c r="H172" s="1">
        <v>21</v>
      </c>
      <c r="I172" s="1">
        <v>84.7</v>
      </c>
      <c r="J172" s="1">
        <v>7.73</v>
      </c>
      <c r="K172" s="1">
        <v>0</v>
      </c>
      <c r="L172" s="1">
        <v>4.9000000000000004</v>
      </c>
      <c r="M172" s="1">
        <v>769702.76</v>
      </c>
      <c r="N172" s="1">
        <v>158697</v>
      </c>
    </row>
    <row r="173" spans="1:14">
      <c r="A173" s="1" t="s">
        <v>64</v>
      </c>
      <c r="B173" s="3">
        <v>45748</v>
      </c>
      <c r="C173" s="1" t="s">
        <v>15</v>
      </c>
      <c r="D173" s="1" t="s">
        <v>16</v>
      </c>
      <c r="E173" s="1">
        <v>36606.51</v>
      </c>
      <c r="F173" s="1">
        <v>7671</v>
      </c>
      <c r="G173" s="1">
        <v>0.11799999999999999</v>
      </c>
      <c r="H173" s="1">
        <v>18</v>
      </c>
      <c r="I173" s="1">
        <v>89.8</v>
      </c>
      <c r="J173" s="1">
        <v>0.25</v>
      </c>
      <c r="K173" s="1">
        <v>0</v>
      </c>
      <c r="L173" s="1">
        <v>4.4000000000000004</v>
      </c>
      <c r="M173" s="1">
        <v>679731.57</v>
      </c>
      <c r="N173" s="1">
        <v>121546.42</v>
      </c>
    </row>
    <row r="174" spans="1:14">
      <c r="A174" s="1" t="s">
        <v>65</v>
      </c>
      <c r="B174" s="3">
        <v>45658</v>
      </c>
      <c r="C174" s="1" t="s">
        <v>15</v>
      </c>
      <c r="D174" s="1" t="s">
        <v>16</v>
      </c>
      <c r="E174" s="1">
        <v>65237.79</v>
      </c>
      <c r="F174" s="1">
        <v>8741</v>
      </c>
      <c r="G174" s="1">
        <v>0.157</v>
      </c>
      <c r="H174" s="1">
        <v>20</v>
      </c>
      <c r="I174" s="1">
        <v>94.4</v>
      </c>
      <c r="J174" s="1">
        <v>6.43</v>
      </c>
      <c r="K174" s="1">
        <v>0</v>
      </c>
      <c r="L174" s="1">
        <v>3.3</v>
      </c>
      <c r="M174" s="1">
        <v>780344.18</v>
      </c>
      <c r="N174" s="1">
        <v>118239.09</v>
      </c>
    </row>
    <row r="175" spans="1:14">
      <c r="A175" s="1" t="s">
        <v>65</v>
      </c>
      <c r="B175" s="3">
        <v>45689</v>
      </c>
      <c r="C175" s="1" t="s">
        <v>15</v>
      </c>
      <c r="D175" s="1" t="s">
        <v>16</v>
      </c>
      <c r="E175" s="1">
        <v>43645.98</v>
      </c>
      <c r="F175" s="1">
        <v>9480</v>
      </c>
      <c r="G175" s="1">
        <v>0.109</v>
      </c>
      <c r="H175" s="1">
        <v>22</v>
      </c>
      <c r="I175" s="1">
        <v>89</v>
      </c>
      <c r="J175" s="1">
        <v>2.11</v>
      </c>
      <c r="K175" s="1">
        <v>0</v>
      </c>
      <c r="L175" s="1">
        <v>3.1</v>
      </c>
      <c r="M175" s="1">
        <v>721364.11</v>
      </c>
      <c r="N175" s="1">
        <v>147272.81</v>
      </c>
    </row>
    <row r="176" spans="1:14">
      <c r="A176" s="1" t="s">
        <v>65</v>
      </c>
      <c r="B176" s="3">
        <v>45717</v>
      </c>
      <c r="C176" s="1" t="s">
        <v>15</v>
      </c>
      <c r="D176" s="1" t="s">
        <v>16</v>
      </c>
      <c r="E176" s="1">
        <v>68040.149999999994</v>
      </c>
      <c r="F176" s="1">
        <v>9826</v>
      </c>
      <c r="G176" s="1">
        <v>0.125</v>
      </c>
      <c r="H176" s="1">
        <v>20</v>
      </c>
      <c r="I176" s="1">
        <v>83.9</v>
      </c>
      <c r="J176" s="1">
        <v>9.1199999999999992</v>
      </c>
      <c r="K176" s="1">
        <v>0</v>
      </c>
      <c r="L176" s="1">
        <v>3.6</v>
      </c>
      <c r="M176" s="1">
        <v>758138.29</v>
      </c>
      <c r="N176" s="1">
        <v>132975.26</v>
      </c>
    </row>
    <row r="177" spans="1:14">
      <c r="A177" s="1" t="s">
        <v>65</v>
      </c>
      <c r="B177" s="3">
        <v>45748</v>
      </c>
      <c r="C177" s="1" t="s">
        <v>15</v>
      </c>
      <c r="D177" s="1" t="s">
        <v>16</v>
      </c>
      <c r="E177" s="1">
        <v>63043.94</v>
      </c>
      <c r="F177" s="1">
        <v>10402</v>
      </c>
      <c r="G177" s="1">
        <v>0.159</v>
      </c>
      <c r="H177" s="1">
        <v>23</v>
      </c>
      <c r="I177" s="1">
        <v>93.9</v>
      </c>
      <c r="J177" s="1">
        <v>2.71</v>
      </c>
      <c r="K177" s="1">
        <v>0</v>
      </c>
      <c r="L177" s="1">
        <v>3.1</v>
      </c>
      <c r="M177" s="1">
        <v>804264</v>
      </c>
      <c r="N177" s="1">
        <v>167117.91</v>
      </c>
    </row>
    <row r="178" spans="1:14">
      <c r="A178" s="1" t="s">
        <v>66</v>
      </c>
      <c r="B178" s="3">
        <v>45658</v>
      </c>
      <c r="C178" s="1" t="s">
        <v>27</v>
      </c>
      <c r="D178" s="1" t="s">
        <v>21</v>
      </c>
      <c r="E178" s="1">
        <v>67494.09</v>
      </c>
      <c r="F178" s="1">
        <v>12361</v>
      </c>
      <c r="G178" s="1">
        <v>4.5999999999999999E-2</v>
      </c>
      <c r="H178" s="1">
        <v>24</v>
      </c>
      <c r="I178" s="1">
        <v>76.599999999999994</v>
      </c>
      <c r="J178" s="1">
        <v>3.65</v>
      </c>
      <c r="K178" s="1">
        <v>1</v>
      </c>
      <c r="L178" s="1">
        <v>3.7</v>
      </c>
      <c r="M178" s="1">
        <v>887537.75</v>
      </c>
      <c r="N178" s="1">
        <v>160362.92000000001</v>
      </c>
    </row>
    <row r="179" spans="1:14">
      <c r="A179" s="1" t="s">
        <v>66</v>
      </c>
      <c r="B179" s="3">
        <v>45689</v>
      </c>
      <c r="C179" s="1" t="s">
        <v>27</v>
      </c>
      <c r="D179" s="1" t="s">
        <v>21</v>
      </c>
      <c r="E179" s="1">
        <v>29389.32</v>
      </c>
      <c r="F179" s="1">
        <v>7925</v>
      </c>
      <c r="G179" s="1">
        <v>0.17699999999999999</v>
      </c>
      <c r="H179" s="1">
        <v>21</v>
      </c>
      <c r="I179" s="1">
        <v>90.9</v>
      </c>
      <c r="J179" s="1">
        <v>7.86</v>
      </c>
      <c r="K179" s="1">
        <v>0</v>
      </c>
      <c r="L179" s="1">
        <v>4</v>
      </c>
      <c r="M179" s="1">
        <v>783582</v>
      </c>
      <c r="N179" s="1">
        <v>130670.93</v>
      </c>
    </row>
    <row r="180" spans="1:14">
      <c r="A180" s="1" t="s">
        <v>66</v>
      </c>
      <c r="B180" s="3">
        <v>45717</v>
      </c>
      <c r="C180" s="1" t="s">
        <v>27</v>
      </c>
      <c r="D180" s="1" t="s">
        <v>21</v>
      </c>
      <c r="E180" s="1">
        <v>40535.089999999997</v>
      </c>
      <c r="F180" s="1">
        <v>8870</v>
      </c>
      <c r="G180" s="1">
        <v>4.1000000000000002E-2</v>
      </c>
      <c r="H180" s="1">
        <v>21</v>
      </c>
      <c r="I180" s="1">
        <v>86.6</v>
      </c>
      <c r="J180" s="1">
        <v>0.3</v>
      </c>
      <c r="K180" s="1">
        <v>0</v>
      </c>
      <c r="L180" s="1">
        <v>4.0999999999999996</v>
      </c>
      <c r="M180" s="1">
        <v>781955.52</v>
      </c>
      <c r="N180" s="1">
        <v>152578.71</v>
      </c>
    </row>
    <row r="181" spans="1:14">
      <c r="A181" s="1" t="s">
        <v>66</v>
      </c>
      <c r="B181" s="3">
        <v>45748</v>
      </c>
      <c r="C181" s="1" t="s">
        <v>27</v>
      </c>
      <c r="D181" s="1" t="s">
        <v>21</v>
      </c>
      <c r="E181" s="1">
        <v>74881.56</v>
      </c>
      <c r="F181" s="1">
        <v>9999</v>
      </c>
      <c r="G181" s="1">
        <v>1.2999999999999999E-2</v>
      </c>
      <c r="H181" s="1">
        <v>20</v>
      </c>
      <c r="I181" s="1">
        <v>89.6</v>
      </c>
      <c r="J181" s="1">
        <v>8.44</v>
      </c>
      <c r="K181" s="1">
        <v>0</v>
      </c>
      <c r="L181" s="1">
        <v>4.0999999999999996</v>
      </c>
      <c r="M181" s="1">
        <v>898031.04</v>
      </c>
      <c r="N181" s="1">
        <v>138666.5</v>
      </c>
    </row>
    <row r="182" spans="1:14">
      <c r="A182" s="1" t="s">
        <v>67</v>
      </c>
      <c r="B182" s="3">
        <v>45658</v>
      </c>
      <c r="C182" s="1" t="s">
        <v>27</v>
      </c>
      <c r="D182" s="1" t="s">
        <v>16</v>
      </c>
      <c r="E182" s="1">
        <v>68491.11</v>
      </c>
      <c r="F182" s="1">
        <v>11154</v>
      </c>
      <c r="G182" s="1">
        <v>1E-3</v>
      </c>
      <c r="H182" s="1">
        <v>24</v>
      </c>
      <c r="I182" s="1">
        <v>89.4</v>
      </c>
      <c r="J182" s="1">
        <v>5.27</v>
      </c>
      <c r="K182" s="1">
        <v>1</v>
      </c>
      <c r="L182" s="1">
        <v>3.9</v>
      </c>
      <c r="M182" s="1">
        <v>855341.28</v>
      </c>
      <c r="N182" s="1">
        <v>175823.8</v>
      </c>
    </row>
    <row r="183" spans="1:14">
      <c r="A183" s="1" t="s">
        <v>67</v>
      </c>
      <c r="B183" s="3">
        <v>45689</v>
      </c>
      <c r="C183" s="1" t="s">
        <v>27</v>
      </c>
      <c r="D183" s="1" t="s">
        <v>16</v>
      </c>
      <c r="E183" s="1">
        <v>45209.25</v>
      </c>
      <c r="F183" s="1">
        <v>9287</v>
      </c>
      <c r="G183" s="1">
        <v>0.14099999999999999</v>
      </c>
      <c r="H183" s="1">
        <v>22</v>
      </c>
      <c r="I183" s="1">
        <v>86.4</v>
      </c>
      <c r="J183" s="1">
        <v>13.22</v>
      </c>
      <c r="K183" s="1">
        <v>0</v>
      </c>
      <c r="L183" s="1">
        <v>3.6</v>
      </c>
      <c r="M183" s="1">
        <v>751393.88</v>
      </c>
      <c r="N183" s="1">
        <v>91480.320000000007</v>
      </c>
    </row>
    <row r="184" spans="1:14">
      <c r="A184" s="1" t="s">
        <v>67</v>
      </c>
      <c r="B184" s="3">
        <v>45717</v>
      </c>
      <c r="C184" s="1" t="s">
        <v>27</v>
      </c>
      <c r="D184" s="1" t="s">
        <v>16</v>
      </c>
      <c r="E184" s="1">
        <v>63010.23</v>
      </c>
      <c r="F184" s="1">
        <v>9812</v>
      </c>
      <c r="G184" s="1">
        <v>0.113</v>
      </c>
      <c r="H184" s="1">
        <v>24</v>
      </c>
      <c r="I184" s="1">
        <v>76.8</v>
      </c>
      <c r="J184" s="1">
        <v>1.02</v>
      </c>
      <c r="K184" s="1">
        <v>1</v>
      </c>
      <c r="L184" s="1">
        <v>3.8</v>
      </c>
      <c r="M184" s="1">
        <v>761077.08</v>
      </c>
      <c r="N184" s="1">
        <v>113605.93</v>
      </c>
    </row>
    <row r="185" spans="1:14">
      <c r="A185" s="1" t="s">
        <v>67</v>
      </c>
      <c r="B185" s="3">
        <v>45748</v>
      </c>
      <c r="C185" s="1" t="s">
        <v>27</v>
      </c>
      <c r="D185" s="1" t="s">
        <v>16</v>
      </c>
      <c r="E185" s="1">
        <v>57948.88</v>
      </c>
      <c r="F185" s="1">
        <v>10741</v>
      </c>
      <c r="G185" s="1">
        <v>7.0000000000000007E-2</v>
      </c>
      <c r="H185" s="1">
        <v>25</v>
      </c>
      <c r="I185" s="1">
        <v>90.1</v>
      </c>
      <c r="J185" s="1">
        <v>4.03</v>
      </c>
      <c r="K185" s="1">
        <v>0</v>
      </c>
      <c r="L185" s="1">
        <v>3.1</v>
      </c>
      <c r="M185" s="1">
        <v>819660.59</v>
      </c>
      <c r="N185" s="1">
        <v>172699.95</v>
      </c>
    </row>
    <row r="186" spans="1:14">
      <c r="A186" s="1" t="s">
        <v>68</v>
      </c>
      <c r="B186" s="3">
        <v>45658</v>
      </c>
      <c r="C186" s="1" t="s">
        <v>20</v>
      </c>
      <c r="D186" s="1" t="s">
        <v>18</v>
      </c>
      <c r="E186" s="1">
        <v>71941.62</v>
      </c>
      <c r="F186" s="1">
        <v>6084</v>
      </c>
      <c r="G186" s="1">
        <v>7.1999999999999995E-2</v>
      </c>
      <c r="H186" s="1">
        <v>13</v>
      </c>
      <c r="I186" s="1">
        <v>93.7</v>
      </c>
      <c r="J186" s="1">
        <v>2.34</v>
      </c>
      <c r="K186" s="1">
        <v>0</v>
      </c>
      <c r="L186" s="1">
        <v>4.4000000000000004</v>
      </c>
      <c r="M186" s="1">
        <v>681855.56</v>
      </c>
      <c r="N186" s="1">
        <v>117645.61</v>
      </c>
    </row>
    <row r="187" spans="1:14">
      <c r="A187" s="1" t="s">
        <v>68</v>
      </c>
      <c r="B187" s="3">
        <v>45689</v>
      </c>
      <c r="C187" s="1" t="s">
        <v>20</v>
      </c>
      <c r="D187" s="1" t="s">
        <v>18</v>
      </c>
      <c r="E187" s="1">
        <v>57147.88</v>
      </c>
      <c r="F187" s="1">
        <v>5252</v>
      </c>
      <c r="G187" s="1">
        <v>0.161</v>
      </c>
      <c r="H187" s="1">
        <v>15</v>
      </c>
      <c r="I187" s="1">
        <v>95.5</v>
      </c>
      <c r="J187" s="1">
        <v>8.51</v>
      </c>
      <c r="K187" s="1">
        <v>0</v>
      </c>
      <c r="L187" s="1">
        <v>4.4000000000000004</v>
      </c>
      <c r="M187" s="1">
        <v>678311.17</v>
      </c>
      <c r="N187" s="1">
        <v>132029.76000000001</v>
      </c>
    </row>
    <row r="188" spans="1:14">
      <c r="A188" s="1" t="s">
        <v>68</v>
      </c>
      <c r="B188" s="3">
        <v>45717</v>
      </c>
      <c r="C188" s="1" t="s">
        <v>20</v>
      </c>
      <c r="D188" s="1" t="s">
        <v>18</v>
      </c>
      <c r="E188" s="1">
        <v>48031.74</v>
      </c>
      <c r="F188" s="1">
        <v>6516</v>
      </c>
      <c r="G188" s="1">
        <v>6.7000000000000004E-2</v>
      </c>
      <c r="H188" s="1">
        <v>14</v>
      </c>
      <c r="I188" s="1">
        <v>99</v>
      </c>
      <c r="J188" s="1">
        <v>0.48</v>
      </c>
      <c r="K188" s="1">
        <v>1</v>
      </c>
      <c r="L188" s="1">
        <v>4.3</v>
      </c>
      <c r="M188" s="1">
        <v>765906.95</v>
      </c>
      <c r="N188" s="1">
        <v>114005.9</v>
      </c>
    </row>
    <row r="189" spans="1:14">
      <c r="A189" s="1" t="s">
        <v>68</v>
      </c>
      <c r="B189" s="3">
        <v>45748</v>
      </c>
      <c r="C189" s="1" t="s">
        <v>20</v>
      </c>
      <c r="D189" s="1" t="s">
        <v>18</v>
      </c>
      <c r="E189" s="1">
        <v>72784.800000000003</v>
      </c>
      <c r="F189" s="1">
        <v>7932</v>
      </c>
      <c r="G189" s="1">
        <v>9.4E-2</v>
      </c>
      <c r="H189" s="1">
        <v>20</v>
      </c>
      <c r="I189" s="1">
        <v>74.900000000000006</v>
      </c>
      <c r="J189" s="1">
        <v>13.62</v>
      </c>
      <c r="K189" s="1">
        <v>0</v>
      </c>
      <c r="L189" s="1">
        <v>4.2</v>
      </c>
      <c r="M189" s="1">
        <v>712546.38</v>
      </c>
      <c r="N189" s="1">
        <v>101480.04</v>
      </c>
    </row>
    <row r="190" spans="1:14">
      <c r="A190" s="1" t="s">
        <v>69</v>
      </c>
      <c r="B190" s="3">
        <v>45658</v>
      </c>
      <c r="C190" s="1" t="s">
        <v>15</v>
      </c>
      <c r="D190" s="1" t="s">
        <v>18</v>
      </c>
      <c r="E190" s="1">
        <v>71641.899999999994</v>
      </c>
      <c r="F190" s="1">
        <v>3506</v>
      </c>
      <c r="G190" s="1">
        <v>0</v>
      </c>
      <c r="H190" s="1">
        <v>11</v>
      </c>
      <c r="I190" s="1">
        <v>86.4</v>
      </c>
      <c r="J190" s="1">
        <v>7.77</v>
      </c>
      <c r="K190" s="1">
        <v>0</v>
      </c>
      <c r="L190" s="1">
        <v>4.0999999999999996</v>
      </c>
      <c r="M190" s="1">
        <v>625993.82999999996</v>
      </c>
      <c r="N190" s="1">
        <v>98960.320000000007</v>
      </c>
    </row>
    <row r="191" spans="1:14">
      <c r="A191" s="1" t="s">
        <v>69</v>
      </c>
      <c r="B191" s="3">
        <v>45689</v>
      </c>
      <c r="C191" s="1" t="s">
        <v>15</v>
      </c>
      <c r="D191" s="1" t="s">
        <v>18</v>
      </c>
      <c r="E191" s="1">
        <v>55788.61</v>
      </c>
      <c r="F191" s="1">
        <v>2312</v>
      </c>
      <c r="G191" s="1">
        <v>5.8000000000000003E-2</v>
      </c>
      <c r="H191" s="1">
        <v>10</v>
      </c>
      <c r="I191" s="1">
        <v>91.3</v>
      </c>
      <c r="J191" s="1">
        <v>1.99</v>
      </c>
      <c r="K191" s="1">
        <v>0</v>
      </c>
      <c r="L191" s="1">
        <v>3.8</v>
      </c>
      <c r="M191" s="1">
        <v>550962.93000000005</v>
      </c>
      <c r="N191" s="1">
        <v>97144.58</v>
      </c>
    </row>
    <row r="192" spans="1:14">
      <c r="A192" s="1" t="s">
        <v>69</v>
      </c>
      <c r="B192" s="3">
        <v>45717</v>
      </c>
      <c r="C192" s="1" t="s">
        <v>15</v>
      </c>
      <c r="D192" s="1" t="s">
        <v>18</v>
      </c>
      <c r="E192" s="1">
        <v>37705.879999999997</v>
      </c>
      <c r="F192" s="1">
        <v>1268</v>
      </c>
      <c r="G192" s="1">
        <v>0.25900000000000001</v>
      </c>
      <c r="H192" s="1">
        <v>9</v>
      </c>
      <c r="I192" s="1">
        <v>84.1</v>
      </c>
      <c r="J192" s="1">
        <v>4.7699999999999996</v>
      </c>
      <c r="K192" s="1">
        <v>0</v>
      </c>
      <c r="L192" s="1">
        <v>3.8</v>
      </c>
      <c r="M192" s="1">
        <v>443275.59</v>
      </c>
      <c r="N192" s="1">
        <v>53544.36</v>
      </c>
    </row>
    <row r="193" spans="1:14">
      <c r="A193" s="1" t="s">
        <v>69</v>
      </c>
      <c r="B193" s="3">
        <v>45748</v>
      </c>
      <c r="C193" s="1" t="s">
        <v>15</v>
      </c>
      <c r="D193" s="1" t="s">
        <v>18</v>
      </c>
      <c r="E193" s="1">
        <v>54966.18</v>
      </c>
      <c r="F193" s="1">
        <v>4423</v>
      </c>
      <c r="G193" s="1">
        <v>0.186</v>
      </c>
      <c r="H193" s="1">
        <v>13</v>
      </c>
      <c r="I193" s="1">
        <v>88.7</v>
      </c>
      <c r="J193" s="1">
        <v>0.2</v>
      </c>
      <c r="K193" s="1">
        <v>0</v>
      </c>
      <c r="L193" s="1">
        <v>4.4000000000000004</v>
      </c>
      <c r="M193" s="1">
        <v>554012.06999999995</v>
      </c>
      <c r="N193" s="1">
        <v>81101.62</v>
      </c>
    </row>
    <row r="194" spans="1:14">
      <c r="A194" s="1" t="s">
        <v>70</v>
      </c>
      <c r="B194" s="3">
        <v>45658</v>
      </c>
      <c r="C194" s="1" t="s">
        <v>27</v>
      </c>
      <c r="D194" s="1" t="s">
        <v>16</v>
      </c>
      <c r="E194" s="1">
        <v>81796.740000000005</v>
      </c>
      <c r="F194" s="1">
        <v>6177</v>
      </c>
      <c r="G194" s="1">
        <v>0.16400000000000001</v>
      </c>
      <c r="H194" s="1">
        <v>14</v>
      </c>
      <c r="I194" s="1">
        <v>87.9</v>
      </c>
      <c r="J194" s="1">
        <v>0.53</v>
      </c>
      <c r="K194" s="1">
        <v>0</v>
      </c>
      <c r="L194" s="1">
        <v>3.2</v>
      </c>
      <c r="M194" s="1">
        <v>643428.85</v>
      </c>
      <c r="N194" s="1">
        <v>94477.63</v>
      </c>
    </row>
    <row r="195" spans="1:14">
      <c r="A195" s="1" t="s">
        <v>70</v>
      </c>
      <c r="B195" s="3">
        <v>45689</v>
      </c>
      <c r="C195" s="1" t="s">
        <v>27</v>
      </c>
      <c r="D195" s="1" t="s">
        <v>16</v>
      </c>
      <c r="E195" s="1">
        <v>51133.43</v>
      </c>
      <c r="F195" s="1">
        <v>5150</v>
      </c>
      <c r="G195" s="1">
        <v>0.15</v>
      </c>
      <c r="H195" s="1">
        <v>12</v>
      </c>
      <c r="I195" s="1">
        <v>88.5</v>
      </c>
      <c r="J195" s="1">
        <v>1.54</v>
      </c>
      <c r="K195" s="1">
        <v>0</v>
      </c>
      <c r="L195" s="1">
        <v>3.2</v>
      </c>
      <c r="M195" s="1">
        <v>611924.27</v>
      </c>
      <c r="N195" s="1">
        <v>115488.75</v>
      </c>
    </row>
    <row r="196" spans="1:14">
      <c r="A196" s="1" t="s">
        <v>70</v>
      </c>
      <c r="B196" s="3">
        <v>45717</v>
      </c>
      <c r="C196" s="1" t="s">
        <v>27</v>
      </c>
      <c r="D196" s="1" t="s">
        <v>16</v>
      </c>
      <c r="E196" s="1">
        <v>40220.18</v>
      </c>
      <c r="F196" s="1">
        <v>3783</v>
      </c>
      <c r="G196" s="1">
        <v>8.8999999999999996E-2</v>
      </c>
      <c r="H196" s="1">
        <v>14</v>
      </c>
      <c r="I196" s="1">
        <v>86.6</v>
      </c>
      <c r="J196" s="1">
        <v>3.63</v>
      </c>
      <c r="K196" s="1">
        <v>0</v>
      </c>
      <c r="L196" s="1">
        <v>3.7</v>
      </c>
      <c r="M196" s="1">
        <v>559422.02</v>
      </c>
      <c r="N196" s="1">
        <v>73528.740000000005</v>
      </c>
    </row>
    <row r="197" spans="1:14">
      <c r="A197" s="1" t="s">
        <v>70</v>
      </c>
      <c r="B197" s="3">
        <v>45748</v>
      </c>
      <c r="C197" s="1" t="s">
        <v>27</v>
      </c>
      <c r="D197" s="1" t="s">
        <v>16</v>
      </c>
      <c r="E197" s="1">
        <v>41657.64</v>
      </c>
      <c r="F197" s="1">
        <v>3135</v>
      </c>
      <c r="G197" s="1">
        <v>0.22900000000000001</v>
      </c>
      <c r="H197" s="1">
        <v>7</v>
      </c>
      <c r="I197" s="1">
        <v>85.4</v>
      </c>
      <c r="J197" s="1">
        <v>13.48</v>
      </c>
      <c r="K197" s="1">
        <v>0</v>
      </c>
      <c r="L197" s="1"/>
      <c r="M197" s="1">
        <v>449465.06</v>
      </c>
      <c r="N197" s="1">
        <v>65694.78</v>
      </c>
    </row>
    <row r="198" spans="1:14">
      <c r="A198" s="1" t="s">
        <v>71</v>
      </c>
      <c r="B198" s="3">
        <v>45658</v>
      </c>
      <c r="C198" s="1" t="s">
        <v>20</v>
      </c>
      <c r="D198" s="1" t="s">
        <v>16</v>
      </c>
      <c r="E198" s="1">
        <v>71851.45</v>
      </c>
      <c r="F198" s="1">
        <v>4970</v>
      </c>
      <c r="G198" s="1">
        <v>9.8000000000000004E-2</v>
      </c>
      <c r="H198" s="1">
        <v>11</v>
      </c>
      <c r="I198" s="1">
        <v>89.6</v>
      </c>
      <c r="J198" s="1">
        <v>0.2</v>
      </c>
      <c r="K198" s="1">
        <v>0</v>
      </c>
      <c r="L198" s="1">
        <v>4.2</v>
      </c>
      <c r="M198" s="1">
        <v>691447.43</v>
      </c>
      <c r="N198" s="1">
        <v>114077.69</v>
      </c>
    </row>
    <row r="199" spans="1:14">
      <c r="A199" s="1" t="s">
        <v>71</v>
      </c>
      <c r="B199" s="3">
        <v>45689</v>
      </c>
      <c r="C199" s="1" t="s">
        <v>20</v>
      </c>
      <c r="D199" s="1" t="s">
        <v>16</v>
      </c>
      <c r="E199" s="1">
        <v>54002.83</v>
      </c>
      <c r="F199" s="1">
        <v>4366</v>
      </c>
      <c r="G199" s="1">
        <v>2.7E-2</v>
      </c>
      <c r="H199" s="1">
        <v>15</v>
      </c>
      <c r="I199" s="1">
        <v>90.6</v>
      </c>
      <c r="J199" s="1">
        <v>12.82</v>
      </c>
      <c r="K199" s="1">
        <v>0</v>
      </c>
      <c r="L199" s="1">
        <v>4.5999999999999996</v>
      </c>
      <c r="M199" s="1">
        <v>574066.61</v>
      </c>
      <c r="N199" s="1">
        <v>124674.67</v>
      </c>
    </row>
    <row r="200" spans="1:14">
      <c r="A200" s="1" t="s">
        <v>71</v>
      </c>
      <c r="B200" s="3">
        <v>45717</v>
      </c>
      <c r="C200" s="1" t="s">
        <v>20</v>
      </c>
      <c r="D200" s="1" t="s">
        <v>16</v>
      </c>
      <c r="E200" s="1">
        <v>54479.33</v>
      </c>
      <c r="F200" s="1">
        <v>5012</v>
      </c>
      <c r="G200" s="1">
        <v>0.28399999999999997</v>
      </c>
      <c r="H200" s="1">
        <v>13</v>
      </c>
      <c r="I200" s="1">
        <v>86</v>
      </c>
      <c r="J200" s="1">
        <v>2.2400000000000002</v>
      </c>
      <c r="K200" s="1">
        <v>1</v>
      </c>
      <c r="L200" s="1">
        <v>4.3</v>
      </c>
      <c r="M200" s="1">
        <v>578949.84</v>
      </c>
      <c r="N200" s="1">
        <v>80253.649999999994</v>
      </c>
    </row>
    <row r="201" spans="1:14">
      <c r="A201" s="1" t="s">
        <v>71</v>
      </c>
      <c r="B201" s="3">
        <v>45748</v>
      </c>
      <c r="C201" s="1" t="s">
        <v>20</v>
      </c>
      <c r="D201" s="1" t="s">
        <v>16</v>
      </c>
      <c r="E201" s="1">
        <v>61391.8</v>
      </c>
      <c r="F201" s="1">
        <v>5575</v>
      </c>
      <c r="G201" s="1">
        <v>0.189</v>
      </c>
      <c r="H201" s="1">
        <v>18</v>
      </c>
      <c r="I201" s="1">
        <v>90</v>
      </c>
      <c r="J201" s="1">
        <v>1.8</v>
      </c>
      <c r="K201" s="1">
        <v>0</v>
      </c>
      <c r="L201" s="1">
        <v>4.8</v>
      </c>
      <c r="M201" s="1">
        <v>735786.64</v>
      </c>
      <c r="N201" s="1">
        <v>126540.66</v>
      </c>
    </row>
    <row r="202" spans="1:14">
      <c r="A202" s="1" t="s">
        <v>72</v>
      </c>
      <c r="B202" s="3">
        <v>45658</v>
      </c>
      <c r="C202" s="1" t="s">
        <v>15</v>
      </c>
      <c r="D202" s="1" t="s">
        <v>21</v>
      </c>
      <c r="E202" s="1">
        <v>22312.93</v>
      </c>
      <c r="F202" s="1">
        <v>5955</v>
      </c>
      <c r="G202" s="1">
        <v>0.123</v>
      </c>
      <c r="H202" s="1">
        <v>13</v>
      </c>
      <c r="I202" s="1">
        <v>84.2</v>
      </c>
      <c r="J202" s="1">
        <v>0.41</v>
      </c>
      <c r="K202" s="1">
        <v>1</v>
      </c>
      <c r="L202" s="1">
        <v>4.5999999999999996</v>
      </c>
      <c r="M202" s="1">
        <v>598904.9</v>
      </c>
      <c r="N202" s="1">
        <v>72861</v>
      </c>
    </row>
    <row r="203" spans="1:14">
      <c r="A203" s="1" t="s">
        <v>72</v>
      </c>
      <c r="B203" s="3">
        <v>45689</v>
      </c>
      <c r="C203" s="1" t="s">
        <v>15</v>
      </c>
      <c r="D203" s="1" t="s">
        <v>21</v>
      </c>
      <c r="E203" s="1">
        <v>78111.97</v>
      </c>
      <c r="F203" s="1">
        <v>6389</v>
      </c>
      <c r="G203" s="1">
        <v>0.15</v>
      </c>
      <c r="H203" s="1">
        <v>13</v>
      </c>
      <c r="I203" s="1">
        <v>83.9</v>
      </c>
      <c r="J203" s="1">
        <v>3.05</v>
      </c>
      <c r="K203" s="1">
        <v>0</v>
      </c>
      <c r="L203" s="1">
        <v>4.8</v>
      </c>
      <c r="M203" s="1">
        <v>787715.51</v>
      </c>
      <c r="N203" s="1">
        <v>128969.62</v>
      </c>
    </row>
    <row r="204" spans="1:14">
      <c r="A204" s="1" t="s">
        <v>72</v>
      </c>
      <c r="B204" s="3">
        <v>45717</v>
      </c>
      <c r="C204" s="1" t="s">
        <v>15</v>
      </c>
      <c r="D204" s="1" t="s">
        <v>21</v>
      </c>
      <c r="E204" s="1">
        <v>35203.230000000003</v>
      </c>
      <c r="F204" s="1">
        <v>6896</v>
      </c>
      <c r="G204" s="1">
        <v>3.2000000000000001E-2</v>
      </c>
      <c r="H204" s="1">
        <v>14</v>
      </c>
      <c r="I204" s="1">
        <v>80.8</v>
      </c>
      <c r="J204" s="1">
        <v>8.44</v>
      </c>
      <c r="K204" s="1">
        <v>1</v>
      </c>
      <c r="L204" s="1">
        <v>5</v>
      </c>
      <c r="M204" s="1">
        <v>607084.92000000004</v>
      </c>
      <c r="N204" s="1">
        <v>98558.49</v>
      </c>
    </row>
    <row r="205" spans="1:14">
      <c r="A205" s="1" t="s">
        <v>72</v>
      </c>
      <c r="B205" s="3">
        <v>45748</v>
      </c>
      <c r="C205" s="1" t="s">
        <v>15</v>
      </c>
      <c r="D205" s="1" t="s">
        <v>21</v>
      </c>
      <c r="E205" s="1">
        <v>64104.28</v>
      </c>
      <c r="F205" s="1">
        <v>6015</v>
      </c>
      <c r="G205" s="1">
        <v>0.127</v>
      </c>
      <c r="H205" s="1">
        <v>15</v>
      </c>
      <c r="I205" s="1">
        <v>88.7</v>
      </c>
      <c r="J205" s="1">
        <v>0.78</v>
      </c>
      <c r="K205" s="1">
        <v>0</v>
      </c>
      <c r="L205" s="1">
        <v>4</v>
      </c>
      <c r="M205" s="1">
        <v>650795.49</v>
      </c>
      <c r="N205" s="1">
        <v>103035.89</v>
      </c>
    </row>
    <row r="206" spans="1:14">
      <c r="A206" s="1" t="s">
        <v>73</v>
      </c>
      <c r="B206" s="3">
        <v>45658</v>
      </c>
      <c r="C206" s="1" t="s">
        <v>15</v>
      </c>
      <c r="D206" s="1" t="s">
        <v>28</v>
      </c>
      <c r="E206" s="1">
        <v>92090.14</v>
      </c>
      <c r="F206" s="1">
        <v>9476</v>
      </c>
      <c r="G206" s="1">
        <v>7.0000000000000007E-2</v>
      </c>
      <c r="H206" s="1">
        <v>24</v>
      </c>
      <c r="I206" s="1">
        <v>94.3</v>
      </c>
      <c r="J206" s="1">
        <v>0.87</v>
      </c>
      <c r="K206" s="1">
        <v>0</v>
      </c>
      <c r="L206" s="1">
        <v>3.7</v>
      </c>
      <c r="M206" s="1">
        <v>825060.52</v>
      </c>
      <c r="N206" s="1">
        <v>143613.15</v>
      </c>
    </row>
    <row r="207" spans="1:14">
      <c r="A207" s="1" t="s">
        <v>73</v>
      </c>
      <c r="B207" s="3">
        <v>45689</v>
      </c>
      <c r="C207" s="1" t="s">
        <v>15</v>
      </c>
      <c r="D207" s="1" t="s">
        <v>28</v>
      </c>
      <c r="E207" s="1">
        <v>54300.87</v>
      </c>
      <c r="F207" s="1">
        <v>7875</v>
      </c>
      <c r="G207" s="1">
        <v>0.107</v>
      </c>
      <c r="H207" s="1">
        <v>19</v>
      </c>
      <c r="I207" s="1">
        <v>94.1</v>
      </c>
      <c r="J207" s="1">
        <v>0.95</v>
      </c>
      <c r="K207" s="1">
        <v>0</v>
      </c>
      <c r="L207" s="1">
        <v>3.7</v>
      </c>
      <c r="M207" s="1">
        <v>795464.47</v>
      </c>
      <c r="N207" s="1">
        <v>161150.51999999999</v>
      </c>
    </row>
    <row r="208" spans="1:14">
      <c r="A208" s="1" t="s">
        <v>73</v>
      </c>
      <c r="B208" s="3">
        <v>45717</v>
      </c>
      <c r="C208" s="1" t="s">
        <v>15</v>
      </c>
      <c r="D208" s="1" t="s">
        <v>28</v>
      </c>
      <c r="E208" s="1">
        <v>37983.35</v>
      </c>
      <c r="F208" s="1">
        <v>9283</v>
      </c>
      <c r="G208" s="1">
        <v>0.14899999999999999</v>
      </c>
      <c r="H208" s="1">
        <v>19</v>
      </c>
      <c r="I208" s="1">
        <v>83.2</v>
      </c>
      <c r="J208" s="1">
        <v>3.82</v>
      </c>
      <c r="K208" s="1">
        <v>0</v>
      </c>
      <c r="L208" s="1">
        <v>3.7</v>
      </c>
      <c r="M208" s="1">
        <v>671868.59</v>
      </c>
      <c r="N208" s="1">
        <v>71003.28</v>
      </c>
    </row>
    <row r="209" spans="1:14">
      <c r="A209" s="1" t="s">
        <v>73</v>
      </c>
      <c r="B209" s="3">
        <v>45748</v>
      </c>
      <c r="C209" s="1" t="s">
        <v>15</v>
      </c>
      <c r="D209" s="1" t="s">
        <v>28</v>
      </c>
      <c r="E209" s="1">
        <v>56413.83</v>
      </c>
      <c r="F209" s="1">
        <v>8303</v>
      </c>
      <c r="G209" s="1">
        <v>0.11600000000000001</v>
      </c>
      <c r="H209" s="1">
        <v>18</v>
      </c>
      <c r="I209" s="1">
        <v>93.6</v>
      </c>
      <c r="J209" s="1">
        <v>2.7</v>
      </c>
      <c r="K209" s="1">
        <v>0</v>
      </c>
      <c r="L209" s="1">
        <v>3.7</v>
      </c>
      <c r="M209" s="1">
        <v>675917.63</v>
      </c>
      <c r="N209" s="1">
        <v>112564.75</v>
      </c>
    </row>
    <row r="210" spans="1:14">
      <c r="A210" s="1" t="s">
        <v>74</v>
      </c>
      <c r="B210" s="3">
        <v>45658</v>
      </c>
      <c r="C210" s="1" t="s">
        <v>15</v>
      </c>
      <c r="D210" s="1" t="s">
        <v>18</v>
      </c>
      <c r="E210" s="1">
        <v>63457.19</v>
      </c>
      <c r="F210" s="1">
        <v>10125</v>
      </c>
      <c r="G210" s="1">
        <v>9.7000000000000003E-2</v>
      </c>
      <c r="H210" s="1">
        <v>24</v>
      </c>
      <c r="I210" s="1">
        <v>87</v>
      </c>
      <c r="J210" s="1">
        <v>3.84</v>
      </c>
      <c r="K210" s="1">
        <v>1</v>
      </c>
      <c r="L210" s="1">
        <v>3.7</v>
      </c>
      <c r="M210" s="1">
        <v>810446.53</v>
      </c>
      <c r="N210" s="1">
        <v>200575.34</v>
      </c>
    </row>
    <row r="211" spans="1:14">
      <c r="A211" s="1" t="s">
        <v>74</v>
      </c>
      <c r="B211" s="3">
        <v>45689</v>
      </c>
      <c r="C211" s="1" t="s">
        <v>15</v>
      </c>
      <c r="D211" s="1" t="s">
        <v>18</v>
      </c>
      <c r="E211" s="1">
        <v>62949.7</v>
      </c>
      <c r="F211" s="1">
        <v>9458</v>
      </c>
      <c r="G211" s="1">
        <v>0.17100000000000001</v>
      </c>
      <c r="H211" s="1">
        <v>19</v>
      </c>
      <c r="I211" s="1">
        <v>84.9</v>
      </c>
      <c r="J211" s="1">
        <v>5.09</v>
      </c>
      <c r="K211" s="1">
        <v>0</v>
      </c>
      <c r="L211" s="1">
        <v>3.3</v>
      </c>
      <c r="M211" s="1">
        <v>691288.19</v>
      </c>
      <c r="N211" s="1">
        <v>159074.14000000001</v>
      </c>
    </row>
    <row r="212" spans="1:14">
      <c r="A212" s="1" t="s">
        <v>74</v>
      </c>
      <c r="B212" s="3">
        <v>45717</v>
      </c>
      <c r="C212" s="1" t="s">
        <v>15</v>
      </c>
      <c r="D212" s="1" t="s">
        <v>18</v>
      </c>
      <c r="E212" s="1">
        <v>107970.19</v>
      </c>
      <c r="F212" s="1">
        <v>12870</v>
      </c>
      <c r="G212" s="1">
        <v>2.9000000000000001E-2</v>
      </c>
      <c r="H212" s="1">
        <v>31</v>
      </c>
      <c r="I212" s="1">
        <v>91.7</v>
      </c>
      <c r="J212" s="1">
        <v>3.82</v>
      </c>
      <c r="K212" s="1">
        <v>1</v>
      </c>
      <c r="L212" s="1">
        <v>3.7</v>
      </c>
      <c r="M212" s="1">
        <v>946833.54</v>
      </c>
      <c r="N212" s="1">
        <v>184540.31</v>
      </c>
    </row>
    <row r="213" spans="1:14">
      <c r="A213" s="1" t="s">
        <v>74</v>
      </c>
      <c r="B213" s="3">
        <v>45748</v>
      </c>
      <c r="C213" s="1" t="s">
        <v>15</v>
      </c>
      <c r="D213" s="1" t="s">
        <v>18</v>
      </c>
      <c r="E213" s="1">
        <v>49405.75</v>
      </c>
      <c r="F213" s="1">
        <v>9752</v>
      </c>
      <c r="G213" s="1">
        <v>9.2999999999999999E-2</v>
      </c>
      <c r="H213" s="1">
        <v>21</v>
      </c>
      <c r="I213" s="1">
        <v>87</v>
      </c>
      <c r="J213" s="1">
        <v>12.28</v>
      </c>
      <c r="K213" s="1">
        <v>0</v>
      </c>
      <c r="L213" s="1">
        <v>4.0999999999999996</v>
      </c>
      <c r="M213" s="1">
        <v>761963.23</v>
      </c>
      <c r="N213" s="1">
        <v>150113.60999999999</v>
      </c>
    </row>
    <row r="214" spans="1:14">
      <c r="A214" s="1" t="s">
        <v>75</v>
      </c>
      <c r="B214" s="3">
        <v>45658</v>
      </c>
      <c r="C214" s="1" t="s">
        <v>27</v>
      </c>
      <c r="D214" s="1" t="s">
        <v>16</v>
      </c>
      <c r="E214" s="1">
        <v>50887.46</v>
      </c>
      <c r="F214" s="1">
        <v>9505</v>
      </c>
      <c r="G214" s="1">
        <v>9.0999999999999998E-2</v>
      </c>
      <c r="H214" s="1">
        <v>25</v>
      </c>
      <c r="I214" s="1">
        <v>89.7</v>
      </c>
      <c r="J214" s="1">
        <v>2.8</v>
      </c>
      <c r="K214" s="1">
        <v>0</v>
      </c>
      <c r="L214" s="1">
        <v>4.3</v>
      </c>
      <c r="M214" s="1">
        <v>812152.6</v>
      </c>
      <c r="N214" s="1">
        <v>138419.43</v>
      </c>
    </row>
    <row r="215" spans="1:14">
      <c r="A215" s="1" t="s">
        <v>75</v>
      </c>
      <c r="B215" s="3">
        <v>45689</v>
      </c>
      <c r="C215" s="1" t="s">
        <v>27</v>
      </c>
      <c r="D215" s="1" t="s">
        <v>16</v>
      </c>
      <c r="E215" s="1">
        <v>41819.449999999997</v>
      </c>
      <c r="F215" s="1">
        <v>9412</v>
      </c>
      <c r="G215" s="1">
        <v>0.15</v>
      </c>
      <c r="H215" s="1">
        <v>22</v>
      </c>
      <c r="I215" s="1">
        <v>91</v>
      </c>
      <c r="J215" s="1">
        <v>3.67</v>
      </c>
      <c r="K215" s="1">
        <v>0</v>
      </c>
      <c r="L215" s="1">
        <v>4.2</v>
      </c>
      <c r="M215" s="1">
        <v>804975.5</v>
      </c>
      <c r="N215" s="1">
        <v>140054.5</v>
      </c>
    </row>
    <row r="216" spans="1:14">
      <c r="A216" s="1" t="s">
        <v>75</v>
      </c>
      <c r="B216" s="3">
        <v>45717</v>
      </c>
      <c r="C216" s="1" t="s">
        <v>27</v>
      </c>
      <c r="D216" s="1" t="s">
        <v>16</v>
      </c>
      <c r="E216" s="1">
        <v>35296.54</v>
      </c>
      <c r="F216" s="1">
        <v>9644</v>
      </c>
      <c r="G216" s="1">
        <v>0</v>
      </c>
      <c r="H216" s="1">
        <v>22</v>
      </c>
      <c r="I216" s="1">
        <v>88</v>
      </c>
      <c r="J216" s="1">
        <v>2.81</v>
      </c>
      <c r="K216" s="1">
        <v>0</v>
      </c>
      <c r="L216" s="1">
        <v>4.7</v>
      </c>
      <c r="M216" s="1">
        <v>752321.72</v>
      </c>
      <c r="N216" s="1">
        <v>137788.51</v>
      </c>
    </row>
    <row r="217" spans="1:14">
      <c r="A217" s="1" t="s">
        <v>75</v>
      </c>
      <c r="B217" s="3">
        <v>45748</v>
      </c>
      <c r="C217" s="1" t="s">
        <v>27</v>
      </c>
      <c r="D217" s="1" t="s">
        <v>16</v>
      </c>
      <c r="E217" s="1">
        <v>47391.09</v>
      </c>
      <c r="F217" s="1">
        <v>11224</v>
      </c>
      <c r="G217" s="1">
        <v>0.14699999999999999</v>
      </c>
      <c r="H217" s="1">
        <v>25</v>
      </c>
      <c r="I217" s="1">
        <v>88.4</v>
      </c>
      <c r="J217" s="1">
        <v>2.44</v>
      </c>
      <c r="K217" s="1">
        <v>0</v>
      </c>
      <c r="L217" s="1">
        <v>4.9000000000000004</v>
      </c>
      <c r="M217" s="1">
        <v>836908.24</v>
      </c>
      <c r="N217" s="1">
        <v>141090.26</v>
      </c>
    </row>
    <row r="218" spans="1:14">
      <c r="A218" s="1" t="s">
        <v>76</v>
      </c>
      <c r="B218" s="3">
        <v>45658</v>
      </c>
      <c r="C218" s="1" t="s">
        <v>20</v>
      </c>
      <c r="D218" s="1" t="s">
        <v>21</v>
      </c>
      <c r="E218" s="1">
        <v>69180.539999999994</v>
      </c>
      <c r="F218" s="1">
        <v>5394</v>
      </c>
      <c r="G218" s="1">
        <v>0.126</v>
      </c>
      <c r="H218" s="1">
        <v>12</v>
      </c>
      <c r="I218" s="1">
        <v>82.9</v>
      </c>
      <c r="J218" s="1">
        <v>3.27</v>
      </c>
      <c r="K218" s="1">
        <v>0</v>
      </c>
      <c r="L218" s="1">
        <v>3.3</v>
      </c>
      <c r="M218" s="1">
        <v>674289.1</v>
      </c>
      <c r="N218" s="1">
        <v>117773.79</v>
      </c>
    </row>
    <row r="219" spans="1:14">
      <c r="A219" s="1" t="s">
        <v>76</v>
      </c>
      <c r="B219" s="3">
        <v>45689</v>
      </c>
      <c r="C219" s="1" t="s">
        <v>20</v>
      </c>
      <c r="D219" s="1" t="s">
        <v>21</v>
      </c>
      <c r="E219" s="1">
        <v>33987.33</v>
      </c>
      <c r="F219" s="1">
        <v>5014</v>
      </c>
      <c r="G219" s="1">
        <v>0.246</v>
      </c>
      <c r="H219" s="1">
        <v>17</v>
      </c>
      <c r="I219" s="1">
        <v>94.3</v>
      </c>
      <c r="J219" s="1">
        <v>10.34</v>
      </c>
      <c r="K219" s="1">
        <v>0</v>
      </c>
      <c r="L219" s="1">
        <v>3.9</v>
      </c>
      <c r="M219" s="1">
        <v>622892.42000000004</v>
      </c>
      <c r="N219" s="1">
        <v>101032.52</v>
      </c>
    </row>
    <row r="220" spans="1:14">
      <c r="A220" s="1" t="s">
        <v>76</v>
      </c>
      <c r="B220" s="3">
        <v>45717</v>
      </c>
      <c r="C220" s="1" t="s">
        <v>20</v>
      </c>
      <c r="D220" s="1" t="s">
        <v>21</v>
      </c>
      <c r="E220" s="1">
        <v>58785.33</v>
      </c>
      <c r="F220" s="1">
        <v>4467</v>
      </c>
      <c r="G220" s="1">
        <v>0.22900000000000001</v>
      </c>
      <c r="H220" s="1">
        <v>14</v>
      </c>
      <c r="I220" s="1">
        <v>90.7</v>
      </c>
      <c r="J220" s="1">
        <v>1.92</v>
      </c>
      <c r="K220" s="1">
        <v>0</v>
      </c>
      <c r="L220" s="1">
        <v>3.7</v>
      </c>
      <c r="M220" s="1">
        <v>673348.56</v>
      </c>
      <c r="N220" s="1">
        <v>69464.59</v>
      </c>
    </row>
    <row r="221" spans="1:14">
      <c r="A221" s="1" t="s">
        <v>76</v>
      </c>
      <c r="B221" s="3">
        <v>45748</v>
      </c>
      <c r="C221" s="1" t="s">
        <v>20</v>
      </c>
      <c r="D221" s="1" t="s">
        <v>21</v>
      </c>
      <c r="E221" s="1">
        <v>16451.849999999999</v>
      </c>
      <c r="F221" s="1">
        <v>4678</v>
      </c>
      <c r="G221" s="1">
        <v>0.13300000000000001</v>
      </c>
      <c r="H221" s="1">
        <v>11</v>
      </c>
      <c r="I221" s="1">
        <v>95.9</v>
      </c>
      <c r="J221" s="1">
        <v>3.1</v>
      </c>
      <c r="K221" s="1">
        <v>0</v>
      </c>
      <c r="L221" s="1">
        <v>3.9</v>
      </c>
      <c r="M221" s="1">
        <v>606278.30000000005</v>
      </c>
      <c r="N221" s="1">
        <v>102213.26</v>
      </c>
    </row>
    <row r="222" spans="1:14">
      <c r="A222" s="1" t="s">
        <v>77</v>
      </c>
      <c r="B222" s="3">
        <v>45658</v>
      </c>
      <c r="C222" s="1" t="s">
        <v>15</v>
      </c>
      <c r="D222" s="1" t="s">
        <v>18</v>
      </c>
      <c r="E222" s="1">
        <v>53367.73</v>
      </c>
      <c r="F222" s="1">
        <v>7291</v>
      </c>
      <c r="G222" s="1">
        <v>0.14599999999999999</v>
      </c>
      <c r="H222" s="1">
        <v>18</v>
      </c>
      <c r="I222" s="1">
        <v>90.6</v>
      </c>
      <c r="J222" s="1">
        <v>6.34</v>
      </c>
      <c r="K222" s="1">
        <v>1</v>
      </c>
      <c r="L222" s="1">
        <v>3.8</v>
      </c>
      <c r="M222" s="1">
        <v>712219.81</v>
      </c>
      <c r="N222" s="1">
        <v>85906.54</v>
      </c>
    </row>
    <row r="223" spans="1:14">
      <c r="A223" s="1" t="s">
        <v>77</v>
      </c>
      <c r="B223" s="3">
        <v>45689</v>
      </c>
      <c r="C223" s="1" t="s">
        <v>15</v>
      </c>
      <c r="D223" s="1" t="s">
        <v>18</v>
      </c>
      <c r="E223" s="1">
        <v>27194.639999999999</v>
      </c>
      <c r="F223" s="1">
        <v>7404</v>
      </c>
      <c r="G223" s="1">
        <v>8.7999999999999995E-2</v>
      </c>
      <c r="H223" s="1">
        <v>18</v>
      </c>
      <c r="I223" s="1">
        <v>90.2</v>
      </c>
      <c r="J223" s="1">
        <v>1.2</v>
      </c>
      <c r="K223" s="1">
        <v>0</v>
      </c>
      <c r="L223" s="1">
        <v>3.4</v>
      </c>
      <c r="M223" s="1">
        <v>672670.54</v>
      </c>
      <c r="N223" s="1">
        <v>132684.18</v>
      </c>
    </row>
    <row r="224" spans="1:14">
      <c r="A224" s="1" t="s">
        <v>77</v>
      </c>
      <c r="B224" s="3">
        <v>45717</v>
      </c>
      <c r="C224" s="1" t="s">
        <v>15</v>
      </c>
      <c r="D224" s="1" t="s">
        <v>18</v>
      </c>
      <c r="E224" s="1">
        <v>66962.740000000005</v>
      </c>
      <c r="F224" s="1">
        <v>7880</v>
      </c>
      <c r="G224" s="1">
        <v>0.11600000000000001</v>
      </c>
      <c r="H224" s="1">
        <v>19</v>
      </c>
      <c r="I224" s="1">
        <v>90.4</v>
      </c>
      <c r="J224" s="1">
        <v>4.5</v>
      </c>
      <c r="K224" s="1">
        <v>0</v>
      </c>
      <c r="L224" s="1">
        <v>3.3</v>
      </c>
      <c r="M224" s="1">
        <v>732667.92</v>
      </c>
      <c r="N224" s="1">
        <v>128654.46</v>
      </c>
    </row>
    <row r="225" spans="1:14">
      <c r="A225" s="1" t="s">
        <v>77</v>
      </c>
      <c r="B225" s="3">
        <v>45748</v>
      </c>
      <c r="C225" s="1" t="s">
        <v>15</v>
      </c>
      <c r="D225" s="1" t="s">
        <v>18</v>
      </c>
      <c r="E225" s="1">
        <v>73540.990000000005</v>
      </c>
      <c r="F225" s="1">
        <v>8773</v>
      </c>
      <c r="G225" s="1">
        <v>3.5000000000000003E-2</v>
      </c>
      <c r="H225" s="1">
        <v>21</v>
      </c>
      <c r="I225" s="1">
        <v>84.4</v>
      </c>
      <c r="J225" s="1">
        <v>6.68</v>
      </c>
      <c r="K225" s="1">
        <v>0</v>
      </c>
      <c r="L225" s="1">
        <v>3.6</v>
      </c>
      <c r="M225" s="1">
        <v>723531.4</v>
      </c>
      <c r="N225" s="1">
        <v>108794.85</v>
      </c>
    </row>
    <row r="226" spans="1:14">
      <c r="A226" s="1" t="s">
        <v>78</v>
      </c>
      <c r="B226" s="3">
        <v>45658</v>
      </c>
      <c r="C226" s="1" t="s">
        <v>15</v>
      </c>
      <c r="D226" s="1" t="s">
        <v>28</v>
      </c>
      <c r="E226" s="1">
        <v>68212.289999999994</v>
      </c>
      <c r="F226" s="1">
        <v>4713</v>
      </c>
      <c r="G226" s="1">
        <v>0.19800000000000001</v>
      </c>
      <c r="H226" s="1">
        <v>15</v>
      </c>
      <c r="I226" s="1">
        <v>82.6</v>
      </c>
      <c r="J226" s="1">
        <v>4.07</v>
      </c>
      <c r="K226" s="1">
        <v>1</v>
      </c>
      <c r="L226" s="1">
        <v>3</v>
      </c>
      <c r="M226" s="1">
        <v>641564.6</v>
      </c>
      <c r="N226" s="1">
        <v>90468.96</v>
      </c>
    </row>
    <row r="227" spans="1:14">
      <c r="A227" s="1" t="s">
        <v>78</v>
      </c>
      <c r="B227" s="3">
        <v>45689</v>
      </c>
      <c r="C227" s="1" t="s">
        <v>15</v>
      </c>
      <c r="D227" s="1" t="s">
        <v>28</v>
      </c>
      <c r="E227" s="1">
        <v>57225.98</v>
      </c>
      <c r="F227" s="1">
        <v>2842</v>
      </c>
      <c r="G227" s="1">
        <v>0.112</v>
      </c>
      <c r="H227" s="1">
        <v>10</v>
      </c>
      <c r="I227" s="1">
        <v>79.5</v>
      </c>
      <c r="J227" s="1">
        <v>5.45</v>
      </c>
      <c r="K227" s="1">
        <v>0</v>
      </c>
      <c r="L227" s="1">
        <v>3.4</v>
      </c>
      <c r="M227" s="1">
        <v>536545.49</v>
      </c>
      <c r="N227" s="1">
        <v>97917.45</v>
      </c>
    </row>
    <row r="228" spans="1:14">
      <c r="A228" s="1" t="s">
        <v>78</v>
      </c>
      <c r="B228" s="3">
        <v>45717</v>
      </c>
      <c r="C228" s="1" t="s">
        <v>15</v>
      </c>
      <c r="D228" s="1" t="s">
        <v>28</v>
      </c>
      <c r="E228" s="1">
        <v>42932.02</v>
      </c>
      <c r="F228" s="1">
        <v>3872</v>
      </c>
      <c r="G228" s="1">
        <v>0.17100000000000001</v>
      </c>
      <c r="H228" s="1">
        <v>12</v>
      </c>
      <c r="I228" s="1">
        <v>83.2</v>
      </c>
      <c r="J228" s="1">
        <v>15.58</v>
      </c>
      <c r="K228" s="1">
        <v>0</v>
      </c>
      <c r="L228" s="1">
        <v>3.3</v>
      </c>
      <c r="M228" s="1">
        <v>527681.56000000006</v>
      </c>
      <c r="N228" s="1">
        <v>63153.05</v>
      </c>
    </row>
    <row r="229" spans="1:14">
      <c r="A229" s="1" t="s">
        <v>78</v>
      </c>
      <c r="B229" s="3">
        <v>45748</v>
      </c>
      <c r="C229" s="1" t="s">
        <v>15</v>
      </c>
      <c r="D229" s="1" t="s">
        <v>28</v>
      </c>
      <c r="E229" s="1">
        <v>39341.449999999997</v>
      </c>
      <c r="F229" s="1">
        <v>1375</v>
      </c>
      <c r="G229" s="1">
        <v>9.2999999999999999E-2</v>
      </c>
      <c r="H229" s="1">
        <v>5</v>
      </c>
      <c r="I229" s="1">
        <v>95</v>
      </c>
      <c r="J229" s="1">
        <v>5.32</v>
      </c>
      <c r="K229" s="1">
        <v>0</v>
      </c>
      <c r="L229" s="1"/>
      <c r="M229" s="1">
        <v>529598.93999999994</v>
      </c>
      <c r="N229" s="1">
        <v>84334.33</v>
      </c>
    </row>
    <row r="230" spans="1:14">
      <c r="A230" s="1" t="s">
        <v>79</v>
      </c>
      <c r="B230" s="3">
        <v>45658</v>
      </c>
      <c r="C230" s="1" t="s">
        <v>15</v>
      </c>
      <c r="D230" s="1" t="s">
        <v>18</v>
      </c>
      <c r="E230" s="1">
        <v>37324.230000000003</v>
      </c>
      <c r="F230" s="1">
        <v>5957</v>
      </c>
      <c r="G230" s="1">
        <v>7.0999999999999994E-2</v>
      </c>
      <c r="H230" s="1">
        <v>12</v>
      </c>
      <c r="I230" s="1">
        <v>85.9</v>
      </c>
      <c r="J230" s="1">
        <v>0.37</v>
      </c>
      <c r="K230" s="1">
        <v>0</v>
      </c>
      <c r="L230" s="1">
        <v>3.8</v>
      </c>
      <c r="M230" s="1">
        <v>570963.31000000006</v>
      </c>
      <c r="N230" s="1">
        <v>87342.25</v>
      </c>
    </row>
    <row r="231" spans="1:14">
      <c r="A231" s="1" t="s">
        <v>79</v>
      </c>
      <c r="B231" s="3">
        <v>45689</v>
      </c>
      <c r="C231" s="1" t="s">
        <v>15</v>
      </c>
      <c r="D231" s="1" t="s">
        <v>18</v>
      </c>
      <c r="E231" s="1">
        <v>113736</v>
      </c>
      <c r="F231" s="1">
        <v>8961</v>
      </c>
      <c r="G231" s="1">
        <v>0.20200000000000001</v>
      </c>
      <c r="H231" s="1">
        <v>24</v>
      </c>
      <c r="I231" s="1">
        <v>86.2</v>
      </c>
      <c r="J231" s="1">
        <v>21.63</v>
      </c>
      <c r="K231" s="1">
        <v>0</v>
      </c>
      <c r="L231" s="1">
        <v>4</v>
      </c>
      <c r="M231" s="1">
        <v>870937.4</v>
      </c>
      <c r="N231" s="1">
        <v>175282.74</v>
      </c>
    </row>
    <row r="232" spans="1:14">
      <c r="A232" s="1" t="s">
        <v>79</v>
      </c>
      <c r="B232" s="3">
        <v>45717</v>
      </c>
      <c r="C232" s="1" t="s">
        <v>15</v>
      </c>
      <c r="D232" s="1" t="s">
        <v>18</v>
      </c>
      <c r="E232" s="1">
        <v>33173.949999999997</v>
      </c>
      <c r="F232" s="1">
        <v>6545</v>
      </c>
      <c r="G232" s="1">
        <v>0.16900000000000001</v>
      </c>
      <c r="H232" s="1">
        <v>15</v>
      </c>
      <c r="I232" s="1">
        <v>84.4</v>
      </c>
      <c r="J232" s="1">
        <v>2.48</v>
      </c>
      <c r="K232" s="1">
        <v>0</v>
      </c>
      <c r="L232" s="1">
        <v>3.9</v>
      </c>
      <c r="M232" s="1">
        <v>596969.27</v>
      </c>
      <c r="N232" s="1">
        <v>105669.51</v>
      </c>
    </row>
    <row r="233" spans="1:14">
      <c r="A233" s="1" t="s">
        <v>79</v>
      </c>
      <c r="B233" s="3">
        <v>45748</v>
      </c>
      <c r="C233" s="1" t="s">
        <v>15</v>
      </c>
      <c r="D233" s="1" t="s">
        <v>18</v>
      </c>
      <c r="E233" s="1">
        <v>25818.080000000002</v>
      </c>
      <c r="F233" s="1">
        <v>5457</v>
      </c>
      <c r="G233" s="1">
        <v>0</v>
      </c>
      <c r="H233" s="1">
        <v>11</v>
      </c>
      <c r="I233" s="1">
        <v>95.4</v>
      </c>
      <c r="J233" s="1"/>
      <c r="K233" s="1">
        <v>0</v>
      </c>
      <c r="L233" s="1">
        <v>3.7</v>
      </c>
      <c r="M233" s="1">
        <v>647512.85</v>
      </c>
      <c r="N233" s="1">
        <v>153835.57</v>
      </c>
    </row>
    <row r="234" spans="1:14">
      <c r="A234" s="1" t="s">
        <v>80</v>
      </c>
      <c r="B234" s="3">
        <v>45658</v>
      </c>
      <c r="C234" s="1" t="s">
        <v>27</v>
      </c>
      <c r="D234" s="1" t="s">
        <v>16</v>
      </c>
      <c r="E234" s="1">
        <v>47241.919999999998</v>
      </c>
      <c r="F234" s="1">
        <v>4264</v>
      </c>
      <c r="G234" s="1">
        <v>6.9000000000000006E-2</v>
      </c>
      <c r="H234" s="1">
        <v>13</v>
      </c>
      <c r="I234" s="1">
        <v>95.3</v>
      </c>
      <c r="J234" s="1">
        <v>0.85</v>
      </c>
      <c r="K234" s="1">
        <v>0</v>
      </c>
      <c r="L234" s="1">
        <v>4.3</v>
      </c>
      <c r="M234" s="1">
        <v>658072.14</v>
      </c>
      <c r="N234" s="1">
        <v>110595.89</v>
      </c>
    </row>
    <row r="235" spans="1:14">
      <c r="A235" s="1" t="s">
        <v>80</v>
      </c>
      <c r="B235" s="3">
        <v>45689</v>
      </c>
      <c r="C235" s="1" t="s">
        <v>27</v>
      </c>
      <c r="D235" s="1" t="s">
        <v>16</v>
      </c>
      <c r="E235" s="1">
        <v>61650.79</v>
      </c>
      <c r="F235" s="1">
        <v>5321</v>
      </c>
      <c r="G235" s="1">
        <v>0.126</v>
      </c>
      <c r="H235" s="1">
        <v>17</v>
      </c>
      <c r="I235" s="1">
        <v>89.2</v>
      </c>
      <c r="J235" s="1">
        <v>2.13</v>
      </c>
      <c r="K235" s="1">
        <v>0</v>
      </c>
      <c r="L235" s="1">
        <v>4</v>
      </c>
      <c r="M235" s="1">
        <v>723305.11</v>
      </c>
      <c r="N235" s="1">
        <v>128468.7</v>
      </c>
    </row>
    <row r="236" spans="1:14">
      <c r="A236" s="1" t="s">
        <v>80</v>
      </c>
      <c r="B236" s="3">
        <v>45717</v>
      </c>
      <c r="C236" s="1" t="s">
        <v>27</v>
      </c>
      <c r="D236" s="1" t="s">
        <v>16</v>
      </c>
      <c r="E236" s="1">
        <v>62582.71</v>
      </c>
      <c r="F236" s="1">
        <v>5479</v>
      </c>
      <c r="G236" s="1">
        <v>4.8000000000000001E-2</v>
      </c>
      <c r="H236" s="1">
        <v>16</v>
      </c>
      <c r="I236" s="1">
        <v>81.2</v>
      </c>
      <c r="J236" s="1">
        <v>1.46</v>
      </c>
      <c r="K236" s="1">
        <v>0</v>
      </c>
      <c r="L236" s="1">
        <v>4.5</v>
      </c>
      <c r="M236" s="1">
        <v>640666.53</v>
      </c>
      <c r="N236" s="1">
        <v>134919.16</v>
      </c>
    </row>
    <row r="237" spans="1:14">
      <c r="A237" s="1" t="s">
        <v>80</v>
      </c>
      <c r="B237" s="3">
        <v>45748</v>
      </c>
      <c r="C237" s="1" t="s">
        <v>27</v>
      </c>
      <c r="D237" s="1" t="s">
        <v>16</v>
      </c>
      <c r="E237" s="1">
        <v>47944.14</v>
      </c>
      <c r="F237" s="1">
        <v>6169</v>
      </c>
      <c r="G237" s="1">
        <v>0.11899999999999999</v>
      </c>
      <c r="H237" s="1">
        <v>17</v>
      </c>
      <c r="I237" s="1">
        <v>92.2</v>
      </c>
      <c r="J237" s="1">
        <v>3.02</v>
      </c>
      <c r="K237" s="1">
        <v>0</v>
      </c>
      <c r="L237" s="1">
        <v>4.0999999999999996</v>
      </c>
      <c r="M237" s="1">
        <v>670629.48</v>
      </c>
      <c r="N237" s="1">
        <v>100140.8</v>
      </c>
    </row>
    <row r="238" spans="1:14">
      <c r="A238" s="1" t="s">
        <v>81</v>
      </c>
      <c r="B238" s="3">
        <v>45658</v>
      </c>
      <c r="C238" s="1" t="s">
        <v>27</v>
      </c>
      <c r="D238" s="1" t="s">
        <v>28</v>
      </c>
      <c r="E238" s="1">
        <v>46495.4</v>
      </c>
      <c r="F238" s="1">
        <v>9908</v>
      </c>
      <c r="G238" s="1">
        <v>0.121</v>
      </c>
      <c r="H238" s="1">
        <v>22</v>
      </c>
      <c r="I238" s="1">
        <v>89.4</v>
      </c>
      <c r="J238" s="1">
        <v>3.22</v>
      </c>
      <c r="K238" s="1">
        <v>0</v>
      </c>
      <c r="L238" s="1">
        <v>3.7</v>
      </c>
      <c r="M238" s="1">
        <v>721079.35</v>
      </c>
      <c r="N238" s="1">
        <v>115295.05</v>
      </c>
    </row>
    <row r="239" spans="1:14">
      <c r="A239" s="1" t="s">
        <v>81</v>
      </c>
      <c r="B239" s="3">
        <v>45689</v>
      </c>
      <c r="C239" s="1" t="s">
        <v>27</v>
      </c>
      <c r="D239" s="1" t="s">
        <v>28</v>
      </c>
      <c r="E239" s="1">
        <v>72961.95</v>
      </c>
      <c r="F239" s="1">
        <v>9996</v>
      </c>
      <c r="G239" s="1">
        <v>0.106</v>
      </c>
      <c r="H239" s="1">
        <v>22</v>
      </c>
      <c r="I239" s="1">
        <v>89.1</v>
      </c>
      <c r="J239" s="1">
        <v>15.66</v>
      </c>
      <c r="K239" s="1">
        <v>0</v>
      </c>
      <c r="L239" s="1">
        <v>3.4</v>
      </c>
      <c r="M239" s="1">
        <v>810355.02</v>
      </c>
      <c r="N239" s="1">
        <v>131510</v>
      </c>
    </row>
    <row r="240" spans="1:14">
      <c r="A240" s="1" t="s">
        <v>81</v>
      </c>
      <c r="B240" s="3">
        <v>45717</v>
      </c>
      <c r="C240" s="1" t="s">
        <v>27</v>
      </c>
      <c r="D240" s="1" t="s">
        <v>28</v>
      </c>
      <c r="E240" s="1">
        <v>59060.05</v>
      </c>
      <c r="F240" s="1">
        <v>9702</v>
      </c>
      <c r="G240" s="1">
        <v>0.20100000000000001</v>
      </c>
      <c r="H240" s="1">
        <v>23</v>
      </c>
      <c r="I240" s="1">
        <v>80.900000000000006</v>
      </c>
      <c r="J240" s="1">
        <v>6.96</v>
      </c>
      <c r="K240" s="1">
        <v>0</v>
      </c>
      <c r="L240" s="1">
        <v>3.2</v>
      </c>
      <c r="M240" s="1">
        <v>761919.25</v>
      </c>
      <c r="N240" s="1">
        <v>111893.06</v>
      </c>
    </row>
    <row r="241" spans="1:14">
      <c r="A241" s="1" t="s">
        <v>81</v>
      </c>
      <c r="B241" s="3">
        <v>45748</v>
      </c>
      <c r="C241" s="1" t="s">
        <v>27</v>
      </c>
      <c r="D241" s="1" t="s">
        <v>28</v>
      </c>
      <c r="E241" s="1">
        <v>26248.1</v>
      </c>
      <c r="F241" s="1">
        <v>9314</v>
      </c>
      <c r="G241" s="1">
        <v>0.186</v>
      </c>
      <c r="H241" s="1">
        <v>21</v>
      </c>
      <c r="I241" s="1">
        <v>83.7</v>
      </c>
      <c r="J241" s="1">
        <v>4.62</v>
      </c>
      <c r="K241" s="1">
        <v>0</v>
      </c>
      <c r="L241" s="1">
        <v>3.3</v>
      </c>
      <c r="M241" s="1">
        <v>737070.18</v>
      </c>
      <c r="N241" s="1">
        <v>117593.97</v>
      </c>
    </row>
    <row r="242" spans="1:14">
      <c r="A242" s="1" t="s">
        <v>82</v>
      </c>
      <c r="B242" s="3">
        <v>45658</v>
      </c>
      <c r="C242" s="1" t="s">
        <v>24</v>
      </c>
      <c r="D242" s="1" t="s">
        <v>21</v>
      </c>
      <c r="E242" s="1">
        <v>69900.12</v>
      </c>
      <c r="F242" s="1">
        <v>8055</v>
      </c>
      <c r="G242" s="1">
        <v>0.28100000000000003</v>
      </c>
      <c r="H242" s="1">
        <v>22</v>
      </c>
      <c r="I242" s="1">
        <v>85.6</v>
      </c>
      <c r="J242" s="1">
        <v>10.68</v>
      </c>
      <c r="K242" s="1">
        <v>1</v>
      </c>
      <c r="L242" s="1">
        <v>2.9</v>
      </c>
      <c r="M242" s="1">
        <v>776992.93</v>
      </c>
      <c r="N242" s="1">
        <v>101598.32</v>
      </c>
    </row>
    <row r="243" spans="1:14">
      <c r="A243" s="1" t="s">
        <v>82</v>
      </c>
      <c r="B243" s="3">
        <v>45689</v>
      </c>
      <c r="C243" s="1" t="s">
        <v>24</v>
      </c>
      <c r="D243" s="1" t="s">
        <v>21</v>
      </c>
      <c r="E243" s="1">
        <v>51781.599999999999</v>
      </c>
      <c r="F243" s="1">
        <v>5648</v>
      </c>
      <c r="G243" s="1">
        <v>5.8999999999999997E-2</v>
      </c>
      <c r="H243" s="1">
        <v>13</v>
      </c>
      <c r="I243" s="1">
        <v>85.5</v>
      </c>
      <c r="J243" s="1">
        <v>4.04</v>
      </c>
      <c r="K243" s="1">
        <v>0</v>
      </c>
      <c r="L243" s="1">
        <v>3.7</v>
      </c>
      <c r="M243" s="1">
        <v>676337.41</v>
      </c>
      <c r="N243" s="1">
        <v>104355.77</v>
      </c>
    </row>
    <row r="244" spans="1:14">
      <c r="A244" s="1" t="s">
        <v>82</v>
      </c>
      <c r="B244" s="3">
        <v>45717</v>
      </c>
      <c r="C244" s="1" t="s">
        <v>24</v>
      </c>
      <c r="D244" s="1" t="s">
        <v>21</v>
      </c>
      <c r="E244" s="1">
        <v>70799.64</v>
      </c>
      <c r="F244" s="1">
        <v>10076</v>
      </c>
      <c r="G244" s="1">
        <v>0.152</v>
      </c>
      <c r="H244" s="1">
        <v>24</v>
      </c>
      <c r="I244" s="1">
        <v>84.8</v>
      </c>
      <c r="J244" s="1">
        <v>1.87</v>
      </c>
      <c r="K244" s="1">
        <v>0</v>
      </c>
      <c r="L244" s="1">
        <v>3.5</v>
      </c>
      <c r="M244" s="1">
        <v>828219.67</v>
      </c>
      <c r="N244" s="1">
        <v>179806.87</v>
      </c>
    </row>
    <row r="245" spans="1:14">
      <c r="A245" s="1" t="s">
        <v>82</v>
      </c>
      <c r="B245" s="3">
        <v>45748</v>
      </c>
      <c r="C245" s="1" t="s">
        <v>24</v>
      </c>
      <c r="D245" s="1" t="s">
        <v>21</v>
      </c>
      <c r="E245" s="1">
        <v>53546.34</v>
      </c>
      <c r="F245" s="1">
        <v>8004</v>
      </c>
      <c r="G245" s="1">
        <v>0</v>
      </c>
      <c r="H245" s="1">
        <v>21</v>
      </c>
      <c r="I245" s="1">
        <v>95.2</v>
      </c>
      <c r="J245" s="1">
        <v>2.83</v>
      </c>
      <c r="K245" s="1">
        <v>0</v>
      </c>
      <c r="L245" s="1">
        <v>3</v>
      </c>
      <c r="M245" s="1">
        <v>763159.92</v>
      </c>
      <c r="N245" s="1">
        <v>177104.87</v>
      </c>
    </row>
    <row r="246" spans="1:14">
      <c r="A246" s="1" t="s">
        <v>83</v>
      </c>
      <c r="B246" s="3">
        <v>45658</v>
      </c>
      <c r="C246" s="1" t="s">
        <v>15</v>
      </c>
      <c r="D246" s="1" t="s">
        <v>18</v>
      </c>
      <c r="E246" s="1">
        <v>76942.2</v>
      </c>
      <c r="F246" s="1">
        <v>8934</v>
      </c>
      <c r="G246" s="1">
        <v>8.4000000000000005E-2</v>
      </c>
      <c r="H246" s="1">
        <v>20</v>
      </c>
      <c r="I246" s="1">
        <v>91</v>
      </c>
      <c r="J246" s="1">
        <v>0.95</v>
      </c>
      <c r="K246" s="1">
        <v>0</v>
      </c>
      <c r="L246" s="1">
        <v>3.2</v>
      </c>
      <c r="M246" s="1">
        <v>802001.68</v>
      </c>
      <c r="N246" s="1">
        <v>159715.82</v>
      </c>
    </row>
    <row r="247" spans="1:14">
      <c r="A247" s="1" t="s">
        <v>83</v>
      </c>
      <c r="B247" s="3">
        <v>45689</v>
      </c>
      <c r="C247" s="1" t="s">
        <v>15</v>
      </c>
      <c r="D247" s="1" t="s">
        <v>18</v>
      </c>
      <c r="E247" s="1">
        <v>48060.78</v>
      </c>
      <c r="F247" s="1">
        <v>8733</v>
      </c>
      <c r="G247" s="1">
        <v>0</v>
      </c>
      <c r="H247" s="1">
        <v>20</v>
      </c>
      <c r="I247" s="1">
        <v>89.9</v>
      </c>
      <c r="J247" s="1">
        <v>0.8</v>
      </c>
      <c r="K247" s="1">
        <v>0</v>
      </c>
      <c r="L247" s="1">
        <v>3.4</v>
      </c>
      <c r="M247" s="1">
        <v>750471.34</v>
      </c>
      <c r="N247" s="1">
        <v>133788.04</v>
      </c>
    </row>
    <row r="248" spans="1:14">
      <c r="A248" s="1" t="s">
        <v>83</v>
      </c>
      <c r="B248" s="3">
        <v>45717</v>
      </c>
      <c r="C248" s="1" t="s">
        <v>15</v>
      </c>
      <c r="D248" s="1" t="s">
        <v>18</v>
      </c>
      <c r="E248" s="1">
        <v>57390.04</v>
      </c>
      <c r="F248" s="1">
        <v>7374</v>
      </c>
      <c r="G248" s="1">
        <v>0.21</v>
      </c>
      <c r="H248" s="1">
        <v>21</v>
      </c>
      <c r="I248" s="1">
        <v>91.8</v>
      </c>
      <c r="J248" s="1">
        <v>0.2</v>
      </c>
      <c r="K248" s="1">
        <v>0</v>
      </c>
      <c r="L248" s="1">
        <v>3.1</v>
      </c>
      <c r="M248" s="1">
        <v>679230.86</v>
      </c>
      <c r="N248" s="1">
        <v>106927.58</v>
      </c>
    </row>
    <row r="249" spans="1:14">
      <c r="A249" s="1" t="s">
        <v>83</v>
      </c>
      <c r="B249" s="3">
        <v>45748</v>
      </c>
      <c r="C249" s="1" t="s">
        <v>15</v>
      </c>
      <c r="D249" s="1" t="s">
        <v>18</v>
      </c>
      <c r="E249" s="1">
        <v>21536.18</v>
      </c>
      <c r="F249" s="1">
        <v>8119</v>
      </c>
      <c r="G249" s="1">
        <v>0.22700000000000001</v>
      </c>
      <c r="H249" s="1">
        <v>20</v>
      </c>
      <c r="I249" s="1">
        <v>90.4</v>
      </c>
      <c r="J249" s="1">
        <v>1.7</v>
      </c>
      <c r="K249" s="1">
        <v>0</v>
      </c>
      <c r="L249" s="1">
        <v>3.3</v>
      </c>
      <c r="M249" s="1">
        <v>679888.74</v>
      </c>
      <c r="N249" s="1">
        <v>83406.89</v>
      </c>
    </row>
    <row r="250" spans="1:14">
      <c r="A250" s="1" t="s">
        <v>84</v>
      </c>
      <c r="B250" s="3">
        <v>45658</v>
      </c>
      <c r="C250" s="1" t="s">
        <v>20</v>
      </c>
      <c r="D250" s="1" t="s">
        <v>18</v>
      </c>
      <c r="E250" s="1">
        <v>40923.67</v>
      </c>
      <c r="F250" s="1">
        <v>3875</v>
      </c>
      <c r="G250" s="1">
        <v>0.15</v>
      </c>
      <c r="H250" s="1">
        <v>10</v>
      </c>
      <c r="I250" s="1">
        <v>96.1</v>
      </c>
      <c r="J250" s="1"/>
      <c r="K250" s="1">
        <v>0</v>
      </c>
      <c r="L250" s="1">
        <v>3.8</v>
      </c>
      <c r="M250" s="1">
        <v>606783.67000000004</v>
      </c>
      <c r="N250" s="1">
        <v>74515.87</v>
      </c>
    </row>
    <row r="251" spans="1:14">
      <c r="A251" s="1" t="s">
        <v>84</v>
      </c>
      <c r="B251" s="3">
        <v>45689</v>
      </c>
      <c r="C251" s="1" t="s">
        <v>20</v>
      </c>
      <c r="D251" s="1" t="s">
        <v>18</v>
      </c>
      <c r="E251" s="1">
        <v>72932.55</v>
      </c>
      <c r="F251" s="1">
        <v>5765</v>
      </c>
      <c r="G251" s="1">
        <v>2.5999999999999999E-2</v>
      </c>
      <c r="H251" s="1">
        <v>17</v>
      </c>
      <c r="I251" s="1">
        <v>81.8</v>
      </c>
      <c r="J251" s="1">
        <v>5.0999999999999996</v>
      </c>
      <c r="K251" s="1">
        <v>0</v>
      </c>
      <c r="L251" s="1">
        <v>3.6</v>
      </c>
      <c r="M251" s="1">
        <v>642751.42000000004</v>
      </c>
      <c r="N251" s="1">
        <v>131942.15</v>
      </c>
    </row>
    <row r="252" spans="1:14">
      <c r="A252" s="1" t="s">
        <v>84</v>
      </c>
      <c r="B252" s="3">
        <v>45717</v>
      </c>
      <c r="C252" s="1" t="s">
        <v>20</v>
      </c>
      <c r="D252" s="1" t="s">
        <v>18</v>
      </c>
      <c r="E252" s="1">
        <v>38361.93</v>
      </c>
      <c r="F252" s="1">
        <v>6322</v>
      </c>
      <c r="G252" s="1">
        <v>0.27300000000000002</v>
      </c>
      <c r="H252" s="1">
        <v>15</v>
      </c>
      <c r="I252" s="1">
        <v>88.4</v>
      </c>
      <c r="J252" s="1">
        <v>0.83</v>
      </c>
      <c r="K252" s="1">
        <v>0</v>
      </c>
      <c r="L252" s="1">
        <v>4</v>
      </c>
      <c r="M252" s="1">
        <v>647953.78</v>
      </c>
      <c r="N252" s="1">
        <v>118497.43</v>
      </c>
    </row>
    <row r="253" spans="1:14">
      <c r="A253" s="1" t="s">
        <v>84</v>
      </c>
      <c r="B253" s="3">
        <v>45748</v>
      </c>
      <c r="C253" s="1" t="s">
        <v>20</v>
      </c>
      <c r="D253" s="1" t="s">
        <v>18</v>
      </c>
      <c r="E253" s="1">
        <v>97480.94</v>
      </c>
      <c r="F253" s="1">
        <v>6840</v>
      </c>
      <c r="G253" s="1">
        <v>8.6999999999999994E-2</v>
      </c>
      <c r="H253" s="1">
        <v>14</v>
      </c>
      <c r="I253" s="1">
        <v>79.2</v>
      </c>
      <c r="J253" s="1">
        <v>1.1399999999999999</v>
      </c>
      <c r="K253" s="1">
        <v>0</v>
      </c>
      <c r="L253" s="1">
        <v>4</v>
      </c>
      <c r="M253" s="1">
        <v>729440.45</v>
      </c>
      <c r="N253" s="1">
        <v>87614.29</v>
      </c>
    </row>
    <row r="254" spans="1:14">
      <c r="A254" s="1" t="s">
        <v>85</v>
      </c>
      <c r="B254" s="3">
        <v>45658</v>
      </c>
      <c r="C254" s="1" t="s">
        <v>24</v>
      </c>
      <c r="D254" s="1" t="s">
        <v>21</v>
      </c>
      <c r="E254" s="1">
        <v>81801.8</v>
      </c>
      <c r="F254" s="1">
        <v>6782</v>
      </c>
      <c r="G254" s="1">
        <v>0.05</v>
      </c>
      <c r="H254" s="1">
        <v>16</v>
      </c>
      <c r="I254" s="1">
        <v>99</v>
      </c>
      <c r="J254" s="1">
        <v>9.5399999999999991</v>
      </c>
      <c r="K254" s="1">
        <v>0</v>
      </c>
      <c r="L254" s="1">
        <v>3.7</v>
      </c>
      <c r="M254" s="1">
        <v>764949</v>
      </c>
      <c r="N254" s="1">
        <v>148322.43</v>
      </c>
    </row>
    <row r="255" spans="1:14">
      <c r="A255" s="1" t="s">
        <v>85</v>
      </c>
      <c r="B255" s="3">
        <v>45689</v>
      </c>
      <c r="C255" s="1" t="s">
        <v>24</v>
      </c>
      <c r="D255" s="1" t="s">
        <v>21</v>
      </c>
      <c r="E255" s="1">
        <v>63582.11</v>
      </c>
      <c r="F255" s="1">
        <v>6856</v>
      </c>
      <c r="G255" s="1">
        <v>7.3999999999999996E-2</v>
      </c>
      <c r="H255" s="1">
        <v>17</v>
      </c>
      <c r="I255" s="1">
        <v>89.5</v>
      </c>
      <c r="J255" s="1">
        <v>5.48</v>
      </c>
      <c r="K255" s="1">
        <v>0</v>
      </c>
      <c r="L255" s="1">
        <v>3.2</v>
      </c>
      <c r="M255" s="1">
        <v>799046.94</v>
      </c>
      <c r="N255" s="1">
        <v>144553.64000000001</v>
      </c>
    </row>
    <row r="256" spans="1:14">
      <c r="A256" s="1" t="s">
        <v>85</v>
      </c>
      <c r="B256" s="3">
        <v>45717</v>
      </c>
      <c r="C256" s="1" t="s">
        <v>24</v>
      </c>
      <c r="D256" s="1" t="s">
        <v>21</v>
      </c>
      <c r="E256" s="1">
        <v>75412.740000000005</v>
      </c>
      <c r="F256" s="1">
        <v>5641</v>
      </c>
      <c r="G256" s="1">
        <v>5.8999999999999997E-2</v>
      </c>
      <c r="H256" s="1">
        <v>13</v>
      </c>
      <c r="I256" s="1">
        <v>87.9</v>
      </c>
      <c r="J256" s="1">
        <v>0.84</v>
      </c>
      <c r="K256" s="1">
        <v>0</v>
      </c>
      <c r="L256" s="1">
        <v>3.6</v>
      </c>
      <c r="M256" s="1">
        <v>720079.54</v>
      </c>
      <c r="N256" s="1">
        <v>119499.47</v>
      </c>
    </row>
    <row r="257" spans="1:14">
      <c r="A257" s="1" t="s">
        <v>85</v>
      </c>
      <c r="B257" s="3">
        <v>45748</v>
      </c>
      <c r="C257" s="1" t="s">
        <v>24</v>
      </c>
      <c r="D257" s="1" t="s">
        <v>21</v>
      </c>
      <c r="E257" s="1">
        <v>36290.080000000002</v>
      </c>
      <c r="F257" s="1">
        <v>5787</v>
      </c>
      <c r="G257" s="1">
        <v>0</v>
      </c>
      <c r="H257" s="1">
        <v>17</v>
      </c>
      <c r="I257" s="1">
        <v>88.3</v>
      </c>
      <c r="J257" s="1">
        <v>4.1900000000000004</v>
      </c>
      <c r="K257" s="1">
        <v>0</v>
      </c>
      <c r="L257" s="1">
        <v>4.0999999999999996</v>
      </c>
      <c r="M257" s="1">
        <v>612390.14</v>
      </c>
      <c r="N257" s="1">
        <v>108985.74</v>
      </c>
    </row>
    <row r="258" spans="1:14">
      <c r="A258" s="1" t="s">
        <v>86</v>
      </c>
      <c r="B258" s="3">
        <v>45658</v>
      </c>
      <c r="C258" s="1" t="s">
        <v>24</v>
      </c>
      <c r="D258" s="1" t="s">
        <v>28</v>
      </c>
      <c r="E258" s="1">
        <v>65272.58</v>
      </c>
      <c r="F258" s="1">
        <v>8165</v>
      </c>
      <c r="G258" s="1">
        <v>5.0999999999999997E-2</v>
      </c>
      <c r="H258" s="1">
        <v>19</v>
      </c>
      <c r="I258" s="1">
        <v>87.8</v>
      </c>
      <c r="J258" s="1">
        <v>1.26</v>
      </c>
      <c r="K258" s="1">
        <v>1</v>
      </c>
      <c r="L258" s="1">
        <v>4.3</v>
      </c>
      <c r="M258" s="1">
        <v>840108.12</v>
      </c>
      <c r="N258" s="1">
        <v>126587.01</v>
      </c>
    </row>
    <row r="259" spans="1:14">
      <c r="A259" s="1" t="s">
        <v>86</v>
      </c>
      <c r="B259" s="3">
        <v>45689</v>
      </c>
      <c r="C259" s="1" t="s">
        <v>24</v>
      </c>
      <c r="D259" s="1" t="s">
        <v>28</v>
      </c>
      <c r="E259" s="1">
        <v>28670.43</v>
      </c>
      <c r="F259" s="1">
        <v>7574</v>
      </c>
      <c r="G259" s="1">
        <v>0.114</v>
      </c>
      <c r="H259" s="1">
        <v>19</v>
      </c>
      <c r="I259" s="1">
        <v>82.7</v>
      </c>
      <c r="J259" s="1">
        <v>2.74</v>
      </c>
      <c r="K259" s="1">
        <v>0</v>
      </c>
      <c r="L259" s="1">
        <v>4.5999999999999996</v>
      </c>
      <c r="M259" s="1">
        <v>697888.09</v>
      </c>
      <c r="N259" s="1">
        <v>116249.87</v>
      </c>
    </row>
    <row r="260" spans="1:14">
      <c r="A260" s="1" t="s">
        <v>86</v>
      </c>
      <c r="B260" s="3">
        <v>45717</v>
      </c>
      <c r="C260" s="1" t="s">
        <v>24</v>
      </c>
      <c r="D260" s="1" t="s">
        <v>28</v>
      </c>
      <c r="E260" s="1">
        <v>44189.34</v>
      </c>
      <c r="F260" s="1">
        <v>8634</v>
      </c>
      <c r="G260" s="1">
        <v>0.14299999999999999</v>
      </c>
      <c r="H260" s="1">
        <v>19</v>
      </c>
      <c r="I260" s="1">
        <v>87.5</v>
      </c>
      <c r="J260" s="1">
        <v>3.69</v>
      </c>
      <c r="K260" s="1">
        <v>0</v>
      </c>
      <c r="L260" s="1">
        <v>4.4000000000000004</v>
      </c>
      <c r="M260" s="1">
        <v>746115.59</v>
      </c>
      <c r="N260" s="1">
        <v>94662.96</v>
      </c>
    </row>
    <row r="261" spans="1:14">
      <c r="A261" s="1" t="s">
        <v>86</v>
      </c>
      <c r="B261" s="3">
        <v>45748</v>
      </c>
      <c r="C261" s="1" t="s">
        <v>24</v>
      </c>
      <c r="D261" s="1" t="s">
        <v>28</v>
      </c>
      <c r="E261" s="1">
        <v>38397.82</v>
      </c>
      <c r="F261" s="1">
        <v>7836</v>
      </c>
      <c r="G261" s="1">
        <v>7.0000000000000001E-3</v>
      </c>
      <c r="H261" s="1">
        <v>21</v>
      </c>
      <c r="I261" s="1">
        <v>92.2</v>
      </c>
      <c r="J261" s="1">
        <v>1.82</v>
      </c>
      <c r="K261" s="1">
        <v>0</v>
      </c>
      <c r="L261" s="1">
        <v>3.6</v>
      </c>
      <c r="M261" s="1">
        <v>776110.32</v>
      </c>
      <c r="N261" s="1">
        <v>139676.21</v>
      </c>
    </row>
    <row r="262" spans="1:14">
      <c r="A262" s="1" t="s">
        <v>87</v>
      </c>
      <c r="B262" s="3">
        <v>45658</v>
      </c>
      <c r="C262" s="1" t="s">
        <v>27</v>
      </c>
      <c r="D262" s="1" t="s">
        <v>18</v>
      </c>
      <c r="E262" s="1">
        <v>14519.37</v>
      </c>
      <c r="F262" s="1">
        <v>3047</v>
      </c>
      <c r="G262" s="1">
        <v>0.13500000000000001</v>
      </c>
      <c r="H262" s="1">
        <v>10</v>
      </c>
      <c r="I262" s="1">
        <v>90.3</v>
      </c>
      <c r="J262" s="1">
        <v>6.62</v>
      </c>
      <c r="K262" s="1">
        <v>0</v>
      </c>
      <c r="L262" s="1">
        <v>4.2</v>
      </c>
      <c r="M262" s="1">
        <v>528852.62</v>
      </c>
      <c r="N262" s="1">
        <v>68426.210000000006</v>
      </c>
    </row>
    <row r="263" spans="1:14">
      <c r="A263" s="1" t="s">
        <v>87</v>
      </c>
      <c r="B263" s="3">
        <v>45689</v>
      </c>
      <c r="C263" s="1" t="s">
        <v>27</v>
      </c>
      <c r="D263" s="1" t="s">
        <v>18</v>
      </c>
      <c r="E263" s="1">
        <v>43288.2</v>
      </c>
      <c r="F263" s="1">
        <v>4783</v>
      </c>
      <c r="G263" s="1">
        <v>0.16900000000000001</v>
      </c>
      <c r="H263" s="1">
        <v>13</v>
      </c>
      <c r="I263" s="1">
        <v>87.3</v>
      </c>
      <c r="J263" s="1"/>
      <c r="K263" s="1">
        <v>0</v>
      </c>
      <c r="L263" s="1">
        <v>4.2</v>
      </c>
      <c r="M263" s="1">
        <v>605751.32999999996</v>
      </c>
      <c r="N263" s="1">
        <v>60685.53</v>
      </c>
    </row>
    <row r="264" spans="1:14">
      <c r="A264" s="1" t="s">
        <v>87</v>
      </c>
      <c r="B264" s="3">
        <v>45717</v>
      </c>
      <c r="C264" s="1" t="s">
        <v>27</v>
      </c>
      <c r="D264" s="1" t="s">
        <v>18</v>
      </c>
      <c r="E264" s="1">
        <v>51450.55</v>
      </c>
      <c r="F264" s="1">
        <v>4902</v>
      </c>
      <c r="G264" s="1">
        <v>8.5999999999999993E-2</v>
      </c>
      <c r="H264" s="1">
        <v>11</v>
      </c>
      <c r="I264" s="1">
        <v>83.7</v>
      </c>
      <c r="J264" s="1">
        <v>6.92</v>
      </c>
      <c r="K264" s="1">
        <v>1</v>
      </c>
      <c r="L264" s="1">
        <v>4.2</v>
      </c>
      <c r="M264" s="1">
        <v>677640.65</v>
      </c>
      <c r="N264" s="1">
        <v>111610.89</v>
      </c>
    </row>
    <row r="265" spans="1:14">
      <c r="A265" s="1" t="s">
        <v>87</v>
      </c>
      <c r="B265" s="3">
        <v>45748</v>
      </c>
      <c r="C265" s="1" t="s">
        <v>27</v>
      </c>
      <c r="D265" s="1" t="s">
        <v>18</v>
      </c>
      <c r="E265" s="1">
        <v>58688.26</v>
      </c>
      <c r="F265" s="1">
        <v>4022</v>
      </c>
      <c r="G265" s="1">
        <v>0.217</v>
      </c>
      <c r="H265" s="1">
        <v>12</v>
      </c>
      <c r="I265" s="1">
        <v>93.8</v>
      </c>
      <c r="J265" s="1">
        <v>11.78</v>
      </c>
      <c r="K265" s="1">
        <v>0</v>
      </c>
      <c r="L265" s="1">
        <v>3.7</v>
      </c>
      <c r="M265" s="1">
        <v>636613.23</v>
      </c>
      <c r="N265" s="1">
        <v>78908.350000000006</v>
      </c>
    </row>
    <row r="266" spans="1:14">
      <c r="A266" s="1" t="s">
        <v>88</v>
      </c>
      <c r="B266" s="3">
        <v>45658</v>
      </c>
      <c r="C266" s="1" t="s">
        <v>15</v>
      </c>
      <c r="D266" s="1" t="s">
        <v>18</v>
      </c>
      <c r="E266" s="1">
        <v>58981.91</v>
      </c>
      <c r="F266" s="1">
        <v>7324</v>
      </c>
      <c r="G266" s="1">
        <v>9.4E-2</v>
      </c>
      <c r="H266" s="1">
        <v>15</v>
      </c>
      <c r="I266" s="1">
        <v>95.8</v>
      </c>
      <c r="J266" s="1">
        <v>0.5</v>
      </c>
      <c r="K266" s="1">
        <v>0</v>
      </c>
      <c r="L266" s="1">
        <v>3.5</v>
      </c>
      <c r="M266" s="1">
        <v>708985.19</v>
      </c>
      <c r="N266" s="1">
        <v>125368.16</v>
      </c>
    </row>
    <row r="267" spans="1:14">
      <c r="A267" s="1" t="s">
        <v>88</v>
      </c>
      <c r="B267" s="3">
        <v>45689</v>
      </c>
      <c r="C267" s="1" t="s">
        <v>15</v>
      </c>
      <c r="D267" s="1" t="s">
        <v>18</v>
      </c>
      <c r="E267" s="1">
        <v>73454.539999999994</v>
      </c>
      <c r="F267" s="1">
        <v>8129</v>
      </c>
      <c r="G267" s="1">
        <v>0.21099999999999999</v>
      </c>
      <c r="H267" s="1">
        <v>20</v>
      </c>
      <c r="I267" s="1">
        <v>85.2</v>
      </c>
      <c r="J267" s="1">
        <v>0.88</v>
      </c>
      <c r="K267" s="1">
        <v>0</v>
      </c>
      <c r="L267" s="1">
        <v>3.7</v>
      </c>
      <c r="M267" s="1">
        <v>767792.94</v>
      </c>
      <c r="N267" s="1">
        <v>96235.77</v>
      </c>
    </row>
    <row r="268" spans="1:14">
      <c r="A268" s="1" t="s">
        <v>88</v>
      </c>
      <c r="B268" s="3">
        <v>45717</v>
      </c>
      <c r="C268" s="1" t="s">
        <v>15</v>
      </c>
      <c r="D268" s="1" t="s">
        <v>18</v>
      </c>
      <c r="E268" s="1">
        <v>56602.39</v>
      </c>
      <c r="F268" s="1">
        <v>7969</v>
      </c>
      <c r="G268" s="1">
        <v>0.17</v>
      </c>
      <c r="H268" s="1">
        <v>21</v>
      </c>
      <c r="I268" s="1">
        <v>88.3</v>
      </c>
      <c r="J268" s="1">
        <v>2.25</v>
      </c>
      <c r="K268" s="1">
        <v>0</v>
      </c>
      <c r="L268" s="1">
        <v>3.7</v>
      </c>
      <c r="M268" s="1">
        <v>745580.51</v>
      </c>
      <c r="N268" s="1">
        <v>116273.68</v>
      </c>
    </row>
    <row r="269" spans="1:14">
      <c r="A269" s="1" t="s">
        <v>88</v>
      </c>
      <c r="B269" s="3">
        <v>45748</v>
      </c>
      <c r="C269" s="1" t="s">
        <v>15</v>
      </c>
      <c r="D269" s="1" t="s">
        <v>18</v>
      </c>
      <c r="E269" s="1">
        <v>67722.289999999994</v>
      </c>
      <c r="F269" s="1">
        <v>7240</v>
      </c>
      <c r="G269" s="1">
        <v>2.5999999999999999E-2</v>
      </c>
      <c r="H269" s="1">
        <v>15</v>
      </c>
      <c r="I269" s="1">
        <v>92.9</v>
      </c>
      <c r="J269" s="1">
        <v>0.28999999999999998</v>
      </c>
      <c r="K269" s="1">
        <v>0</v>
      </c>
      <c r="L269" s="1">
        <v>3.5</v>
      </c>
      <c r="M269" s="1">
        <v>762328.31</v>
      </c>
      <c r="N269" s="1">
        <v>159158.19</v>
      </c>
    </row>
    <row r="270" spans="1:14">
      <c r="A270" s="1" t="s">
        <v>89</v>
      </c>
      <c r="B270" s="3">
        <v>45658</v>
      </c>
      <c r="C270" s="1" t="s">
        <v>15</v>
      </c>
      <c r="D270" s="1" t="s">
        <v>28</v>
      </c>
      <c r="E270" s="1">
        <v>48752.92</v>
      </c>
      <c r="F270" s="1">
        <v>8052</v>
      </c>
      <c r="G270" s="1">
        <v>0.106</v>
      </c>
      <c r="H270" s="1">
        <v>16</v>
      </c>
      <c r="I270" s="1">
        <v>94.9</v>
      </c>
      <c r="J270" s="1">
        <v>0.65</v>
      </c>
      <c r="K270" s="1">
        <v>0</v>
      </c>
      <c r="L270" s="1">
        <v>3.6</v>
      </c>
      <c r="M270" s="1">
        <v>660633.99</v>
      </c>
      <c r="N270" s="1">
        <v>118768.66</v>
      </c>
    </row>
    <row r="271" spans="1:14">
      <c r="A271" s="1" t="s">
        <v>89</v>
      </c>
      <c r="B271" s="3">
        <v>45689</v>
      </c>
      <c r="C271" s="1" t="s">
        <v>15</v>
      </c>
      <c r="D271" s="1" t="s">
        <v>28</v>
      </c>
      <c r="E271" s="1">
        <v>23914.97</v>
      </c>
      <c r="F271" s="1">
        <v>8018</v>
      </c>
      <c r="G271" s="1">
        <v>0.13900000000000001</v>
      </c>
      <c r="H271" s="1">
        <v>20</v>
      </c>
      <c r="I271" s="1">
        <v>89</v>
      </c>
      <c r="J271" s="1">
        <v>0.2</v>
      </c>
      <c r="K271" s="1">
        <v>0</v>
      </c>
      <c r="L271" s="1">
        <v>3.5</v>
      </c>
      <c r="M271" s="1">
        <v>739374.56</v>
      </c>
      <c r="N271" s="1">
        <v>121032.29</v>
      </c>
    </row>
    <row r="272" spans="1:14">
      <c r="A272" s="1" t="s">
        <v>89</v>
      </c>
      <c r="B272" s="3">
        <v>45717</v>
      </c>
      <c r="C272" s="1" t="s">
        <v>15</v>
      </c>
      <c r="D272" s="1" t="s">
        <v>28</v>
      </c>
      <c r="E272" s="1">
        <v>61995.3</v>
      </c>
      <c r="F272" s="1">
        <v>10192</v>
      </c>
      <c r="G272" s="1">
        <v>0.19800000000000001</v>
      </c>
      <c r="H272" s="1">
        <v>21</v>
      </c>
      <c r="I272" s="1">
        <v>87.6</v>
      </c>
      <c r="J272" s="1">
        <v>3.63</v>
      </c>
      <c r="K272" s="1">
        <v>1</v>
      </c>
      <c r="L272" s="1">
        <v>3.8</v>
      </c>
      <c r="M272" s="1">
        <v>799756.46</v>
      </c>
      <c r="N272" s="1">
        <v>105052.93</v>
      </c>
    </row>
    <row r="273" spans="1:14">
      <c r="A273" s="1" t="s">
        <v>89</v>
      </c>
      <c r="B273" s="3">
        <v>45748</v>
      </c>
      <c r="C273" s="1" t="s">
        <v>15</v>
      </c>
      <c r="D273" s="1" t="s">
        <v>28</v>
      </c>
      <c r="E273" s="1">
        <v>29344.93</v>
      </c>
      <c r="F273" s="1">
        <v>7446</v>
      </c>
      <c r="G273" s="1">
        <v>0.111</v>
      </c>
      <c r="H273" s="1">
        <v>15</v>
      </c>
      <c r="I273" s="1">
        <v>86.2</v>
      </c>
      <c r="J273" s="1">
        <v>0.2</v>
      </c>
      <c r="K273" s="1">
        <v>0</v>
      </c>
      <c r="L273" s="1">
        <v>3.2</v>
      </c>
      <c r="M273" s="1">
        <v>593343</v>
      </c>
      <c r="N273" s="1">
        <v>82832.240000000005</v>
      </c>
    </row>
    <row r="274" spans="1:14">
      <c r="A274" s="1" t="s">
        <v>90</v>
      </c>
      <c r="B274" s="3">
        <v>45658</v>
      </c>
      <c r="C274" s="1" t="s">
        <v>27</v>
      </c>
      <c r="D274" s="1" t="s">
        <v>18</v>
      </c>
      <c r="E274" s="1">
        <v>50532.17</v>
      </c>
      <c r="F274" s="1">
        <v>5689</v>
      </c>
      <c r="G274" s="1">
        <v>5.1999999999999998E-2</v>
      </c>
      <c r="H274" s="1">
        <v>17</v>
      </c>
      <c r="I274" s="1">
        <v>85.6</v>
      </c>
      <c r="J274" s="1">
        <v>6.23</v>
      </c>
      <c r="K274" s="1">
        <v>0</v>
      </c>
      <c r="L274" s="1">
        <v>3.3</v>
      </c>
      <c r="M274" s="1">
        <v>645039.97</v>
      </c>
      <c r="N274" s="1">
        <v>83093.33</v>
      </c>
    </row>
    <row r="275" spans="1:14">
      <c r="A275" s="1" t="s">
        <v>90</v>
      </c>
      <c r="B275" s="3">
        <v>45689</v>
      </c>
      <c r="C275" s="1" t="s">
        <v>27</v>
      </c>
      <c r="D275" s="1" t="s">
        <v>18</v>
      </c>
      <c r="E275" s="1">
        <v>17562.57</v>
      </c>
      <c r="F275" s="1">
        <v>3326</v>
      </c>
      <c r="G275" s="1">
        <v>0.153</v>
      </c>
      <c r="H275" s="1">
        <v>14</v>
      </c>
      <c r="I275" s="1">
        <v>88.1</v>
      </c>
      <c r="J275" s="1">
        <v>1.04</v>
      </c>
      <c r="K275" s="1">
        <v>0</v>
      </c>
      <c r="L275" s="1">
        <v>3.1</v>
      </c>
      <c r="M275" s="1">
        <v>561597.32999999996</v>
      </c>
      <c r="N275" s="1">
        <v>75072.75</v>
      </c>
    </row>
    <row r="276" spans="1:14">
      <c r="A276" s="1" t="s">
        <v>90</v>
      </c>
      <c r="B276" s="3">
        <v>45717</v>
      </c>
      <c r="C276" s="1" t="s">
        <v>27</v>
      </c>
      <c r="D276" s="1" t="s">
        <v>18</v>
      </c>
      <c r="E276" s="1">
        <v>47648.71</v>
      </c>
      <c r="F276" s="1">
        <v>5767</v>
      </c>
      <c r="G276" s="1">
        <v>0.14099999999999999</v>
      </c>
      <c r="H276" s="1">
        <v>17</v>
      </c>
      <c r="I276" s="1">
        <v>89.8</v>
      </c>
      <c r="J276" s="1">
        <v>1.76</v>
      </c>
      <c r="K276" s="1">
        <v>0</v>
      </c>
      <c r="L276" s="1">
        <v>3.1</v>
      </c>
      <c r="M276" s="1">
        <v>635837.74</v>
      </c>
      <c r="N276" s="1">
        <v>114740.64</v>
      </c>
    </row>
    <row r="277" spans="1:14">
      <c r="A277" s="1" t="s">
        <v>90</v>
      </c>
      <c r="B277" s="3">
        <v>45748</v>
      </c>
      <c r="C277" s="1" t="s">
        <v>27</v>
      </c>
      <c r="D277" s="1" t="s">
        <v>18</v>
      </c>
      <c r="E277" s="1">
        <v>38297.58</v>
      </c>
      <c r="F277" s="1">
        <v>5893</v>
      </c>
      <c r="G277" s="1">
        <v>0.247</v>
      </c>
      <c r="H277" s="1">
        <v>18</v>
      </c>
      <c r="I277" s="1">
        <v>77.599999999999994</v>
      </c>
      <c r="J277" s="1">
        <v>2.86</v>
      </c>
      <c r="K277" s="1">
        <v>0</v>
      </c>
      <c r="L277" s="1">
        <v>3</v>
      </c>
      <c r="M277" s="1">
        <v>686737.87</v>
      </c>
      <c r="N277" s="1">
        <v>83839.67</v>
      </c>
    </row>
    <row r="278" spans="1:14">
      <c r="A278" s="1" t="s">
        <v>91</v>
      </c>
      <c r="B278" s="3">
        <v>45658</v>
      </c>
      <c r="C278" s="1" t="s">
        <v>24</v>
      </c>
      <c r="D278" s="1" t="s">
        <v>16</v>
      </c>
      <c r="E278" s="1">
        <v>61784.11</v>
      </c>
      <c r="F278" s="1">
        <v>8564</v>
      </c>
      <c r="G278" s="1">
        <v>0.13</v>
      </c>
      <c r="H278" s="1">
        <v>17</v>
      </c>
      <c r="I278" s="1">
        <v>87.4</v>
      </c>
      <c r="J278" s="1">
        <v>18.14</v>
      </c>
      <c r="K278" s="1">
        <v>1</v>
      </c>
      <c r="L278" s="1">
        <v>3.4</v>
      </c>
      <c r="M278" s="1">
        <v>673076.34</v>
      </c>
      <c r="N278" s="1">
        <v>93899.76</v>
      </c>
    </row>
    <row r="279" spans="1:14">
      <c r="A279" s="1" t="s">
        <v>91</v>
      </c>
      <c r="B279" s="3">
        <v>45689</v>
      </c>
      <c r="C279" s="1" t="s">
        <v>24</v>
      </c>
      <c r="D279" s="1" t="s">
        <v>16</v>
      </c>
      <c r="E279" s="1">
        <v>36832.33</v>
      </c>
      <c r="F279" s="1">
        <v>8001</v>
      </c>
      <c r="G279" s="1">
        <v>0</v>
      </c>
      <c r="H279" s="1">
        <v>19</v>
      </c>
      <c r="I279" s="1">
        <v>88.7</v>
      </c>
      <c r="J279" s="1">
        <v>3.39</v>
      </c>
      <c r="K279" s="1">
        <v>0</v>
      </c>
      <c r="L279" s="1">
        <v>4</v>
      </c>
      <c r="M279" s="1">
        <v>738548.42</v>
      </c>
      <c r="N279" s="1">
        <v>134282.76999999999</v>
      </c>
    </row>
    <row r="280" spans="1:14">
      <c r="A280" s="1" t="s">
        <v>91</v>
      </c>
      <c r="B280" s="3">
        <v>45717</v>
      </c>
      <c r="C280" s="1" t="s">
        <v>24</v>
      </c>
      <c r="D280" s="1" t="s">
        <v>16</v>
      </c>
      <c r="E280" s="1">
        <v>48609.41</v>
      </c>
      <c r="F280" s="1">
        <v>9324</v>
      </c>
      <c r="G280" s="1">
        <v>0.21299999999999999</v>
      </c>
      <c r="H280" s="1">
        <v>18</v>
      </c>
      <c r="I280" s="1">
        <v>86.5</v>
      </c>
      <c r="J280" s="1">
        <v>1.44</v>
      </c>
      <c r="K280" s="1">
        <v>0</v>
      </c>
      <c r="L280" s="1">
        <v>3.9</v>
      </c>
      <c r="M280" s="1">
        <v>756619.77</v>
      </c>
      <c r="N280" s="1">
        <v>112057.69</v>
      </c>
    </row>
    <row r="281" spans="1:14">
      <c r="A281" s="1" t="s">
        <v>91</v>
      </c>
      <c r="B281" s="3">
        <v>45748</v>
      </c>
      <c r="C281" s="1" t="s">
        <v>24</v>
      </c>
      <c r="D281" s="1" t="s">
        <v>16</v>
      </c>
      <c r="E281" s="1">
        <v>70284.06</v>
      </c>
      <c r="F281" s="1">
        <v>9109</v>
      </c>
      <c r="G281" s="1">
        <v>4.0000000000000001E-3</v>
      </c>
      <c r="H281" s="1">
        <v>23</v>
      </c>
      <c r="I281" s="1">
        <v>87</v>
      </c>
      <c r="J281" s="1">
        <v>3.65</v>
      </c>
      <c r="K281" s="1">
        <v>0</v>
      </c>
      <c r="L281" s="1">
        <v>3.7</v>
      </c>
      <c r="M281" s="1">
        <v>761122.42</v>
      </c>
      <c r="N281" s="1">
        <v>149802.04</v>
      </c>
    </row>
    <row r="282" spans="1:14">
      <c r="A282" s="1" t="s">
        <v>92</v>
      </c>
      <c r="B282" s="3">
        <v>45658</v>
      </c>
      <c r="C282" s="1" t="s">
        <v>24</v>
      </c>
      <c r="D282" s="1" t="s">
        <v>18</v>
      </c>
      <c r="E282" s="1">
        <v>45940.39</v>
      </c>
      <c r="F282" s="1">
        <v>4022</v>
      </c>
      <c r="G282" s="1">
        <v>6.9000000000000006E-2</v>
      </c>
      <c r="H282" s="1">
        <v>10</v>
      </c>
      <c r="I282" s="1">
        <v>83</v>
      </c>
      <c r="J282" s="1">
        <v>1.23</v>
      </c>
      <c r="K282" s="1">
        <v>1</v>
      </c>
      <c r="L282" s="1">
        <v>3.8</v>
      </c>
      <c r="M282" s="1">
        <v>524899.56999999995</v>
      </c>
      <c r="N282" s="1">
        <v>63619.98</v>
      </c>
    </row>
    <row r="283" spans="1:14">
      <c r="A283" s="1" t="s">
        <v>92</v>
      </c>
      <c r="B283" s="3">
        <v>45689</v>
      </c>
      <c r="C283" s="1" t="s">
        <v>24</v>
      </c>
      <c r="D283" s="1" t="s">
        <v>18</v>
      </c>
      <c r="E283" s="1">
        <v>34771.26</v>
      </c>
      <c r="F283" s="1">
        <v>4355</v>
      </c>
      <c r="G283" s="1">
        <v>5.0999999999999997E-2</v>
      </c>
      <c r="H283" s="1">
        <v>15</v>
      </c>
      <c r="I283" s="1">
        <v>87.9</v>
      </c>
      <c r="J283" s="1">
        <v>3.09</v>
      </c>
      <c r="K283" s="1">
        <v>0</v>
      </c>
      <c r="L283" s="1">
        <v>4</v>
      </c>
      <c r="M283" s="1">
        <v>555557.77</v>
      </c>
      <c r="N283" s="1">
        <v>86475.51</v>
      </c>
    </row>
    <row r="284" spans="1:14">
      <c r="A284" s="1" t="s">
        <v>92</v>
      </c>
      <c r="B284" s="3">
        <v>45717</v>
      </c>
      <c r="C284" s="1" t="s">
        <v>24</v>
      </c>
      <c r="D284" s="1" t="s">
        <v>18</v>
      </c>
      <c r="E284" s="1">
        <v>66104.19</v>
      </c>
      <c r="F284" s="1">
        <v>5745</v>
      </c>
      <c r="G284" s="1">
        <v>7.0000000000000007E-2</v>
      </c>
      <c r="H284" s="1">
        <v>17</v>
      </c>
      <c r="I284" s="1">
        <v>95.8</v>
      </c>
      <c r="J284" s="1">
        <v>3.15</v>
      </c>
      <c r="K284" s="1">
        <v>0</v>
      </c>
      <c r="L284" s="1">
        <v>4</v>
      </c>
      <c r="M284" s="1">
        <v>714083.68</v>
      </c>
      <c r="N284" s="1">
        <v>127231.74</v>
      </c>
    </row>
    <row r="285" spans="1:14">
      <c r="A285" s="1" t="s">
        <v>92</v>
      </c>
      <c r="B285" s="3">
        <v>45748</v>
      </c>
      <c r="C285" s="1" t="s">
        <v>24</v>
      </c>
      <c r="D285" s="1" t="s">
        <v>18</v>
      </c>
      <c r="E285" s="1">
        <v>18599.21</v>
      </c>
      <c r="F285" s="1">
        <v>3027</v>
      </c>
      <c r="G285" s="1">
        <v>0.122</v>
      </c>
      <c r="H285" s="1">
        <v>11</v>
      </c>
      <c r="I285" s="1">
        <v>80.900000000000006</v>
      </c>
      <c r="J285" s="1">
        <v>6.44</v>
      </c>
      <c r="K285" s="1">
        <v>0</v>
      </c>
      <c r="L285" s="1">
        <v>4.2</v>
      </c>
      <c r="M285" s="1">
        <v>497439.82</v>
      </c>
      <c r="N285" s="1">
        <v>93372.75</v>
      </c>
    </row>
    <row r="286" spans="1:14">
      <c r="A286" s="1" t="s">
        <v>93</v>
      </c>
      <c r="B286" s="3">
        <v>45658</v>
      </c>
      <c r="C286" s="1" t="s">
        <v>27</v>
      </c>
      <c r="D286" s="1" t="s">
        <v>16</v>
      </c>
      <c r="E286" s="1">
        <v>60183.06</v>
      </c>
      <c r="F286" s="1">
        <v>5562</v>
      </c>
      <c r="G286" s="1">
        <v>8.9999999999999993E-3</v>
      </c>
      <c r="H286" s="1">
        <v>13</v>
      </c>
      <c r="I286" s="1">
        <v>86.3</v>
      </c>
      <c r="J286" s="1">
        <v>0.2</v>
      </c>
      <c r="K286" s="1">
        <v>1</v>
      </c>
      <c r="L286" s="1">
        <v>4.5</v>
      </c>
      <c r="M286" s="1">
        <v>636775.66</v>
      </c>
      <c r="N286" s="1">
        <v>122636.86</v>
      </c>
    </row>
    <row r="287" spans="1:14">
      <c r="A287" s="1" t="s">
        <v>93</v>
      </c>
      <c r="B287" s="3">
        <v>45689</v>
      </c>
      <c r="C287" s="1" t="s">
        <v>27</v>
      </c>
      <c r="D287" s="1" t="s">
        <v>16</v>
      </c>
      <c r="E287" s="1">
        <v>74539.14</v>
      </c>
      <c r="F287" s="1">
        <v>4487</v>
      </c>
      <c r="G287" s="1">
        <v>0.14000000000000001</v>
      </c>
      <c r="H287" s="1">
        <v>10</v>
      </c>
      <c r="I287" s="1">
        <v>90.4</v>
      </c>
      <c r="J287" s="1">
        <v>0.59</v>
      </c>
      <c r="K287" s="1">
        <v>0</v>
      </c>
      <c r="L287" s="1">
        <v>4.5</v>
      </c>
      <c r="M287" s="1">
        <v>633009.53</v>
      </c>
      <c r="N287" s="1">
        <v>123782.67</v>
      </c>
    </row>
    <row r="288" spans="1:14">
      <c r="A288" s="1" t="s">
        <v>93</v>
      </c>
      <c r="B288" s="3">
        <v>45717</v>
      </c>
      <c r="C288" s="1" t="s">
        <v>27</v>
      </c>
      <c r="D288" s="1" t="s">
        <v>16</v>
      </c>
      <c r="E288" s="1">
        <v>55371.97</v>
      </c>
      <c r="F288" s="1">
        <v>4162</v>
      </c>
      <c r="G288" s="1">
        <v>0.183</v>
      </c>
      <c r="H288" s="1">
        <v>11</v>
      </c>
      <c r="I288" s="1">
        <v>92</v>
      </c>
      <c r="J288" s="1">
        <v>0.2</v>
      </c>
      <c r="K288" s="1">
        <v>1</v>
      </c>
      <c r="L288" s="1">
        <v>4.2</v>
      </c>
      <c r="M288" s="1">
        <v>609949</v>
      </c>
      <c r="N288" s="1">
        <v>126789.25</v>
      </c>
    </row>
    <row r="289" spans="1:14">
      <c r="A289" s="1" t="s">
        <v>93</v>
      </c>
      <c r="B289" s="3">
        <v>45748</v>
      </c>
      <c r="C289" s="1" t="s">
        <v>27</v>
      </c>
      <c r="D289" s="1" t="s">
        <v>16</v>
      </c>
      <c r="E289" s="1">
        <v>40928.69</v>
      </c>
      <c r="F289" s="1">
        <v>4094</v>
      </c>
      <c r="G289" s="1">
        <v>0.17399999999999999</v>
      </c>
      <c r="H289" s="1">
        <v>13</v>
      </c>
      <c r="I289" s="1">
        <v>82.4</v>
      </c>
      <c r="J289" s="1">
        <v>1.36</v>
      </c>
      <c r="K289" s="1">
        <v>0</v>
      </c>
      <c r="L289" s="1">
        <v>4.8</v>
      </c>
      <c r="M289" s="1">
        <v>548103.69999999995</v>
      </c>
      <c r="N289" s="1">
        <v>99905.52</v>
      </c>
    </row>
    <row r="290" spans="1:14">
      <c r="A290" s="1" t="s">
        <v>94</v>
      </c>
      <c r="B290" s="3">
        <v>45658</v>
      </c>
      <c r="C290" s="1" t="s">
        <v>15</v>
      </c>
      <c r="D290" s="1" t="s">
        <v>16</v>
      </c>
      <c r="E290" s="1">
        <v>70012.41</v>
      </c>
      <c r="F290" s="1">
        <v>8484</v>
      </c>
      <c r="G290" s="1">
        <v>0.27300000000000002</v>
      </c>
      <c r="H290" s="1">
        <v>23</v>
      </c>
      <c r="I290" s="1">
        <v>72.900000000000006</v>
      </c>
      <c r="J290" s="1">
        <v>3.34</v>
      </c>
      <c r="K290" s="1">
        <v>0</v>
      </c>
      <c r="L290" s="1">
        <v>3.7</v>
      </c>
      <c r="M290" s="1">
        <v>729424.42</v>
      </c>
      <c r="N290" s="1">
        <v>75592.28</v>
      </c>
    </row>
    <row r="291" spans="1:14">
      <c r="A291" s="1" t="s">
        <v>94</v>
      </c>
      <c r="B291" s="3">
        <v>45689</v>
      </c>
      <c r="C291" s="1" t="s">
        <v>15</v>
      </c>
      <c r="D291" s="1" t="s">
        <v>16</v>
      </c>
      <c r="E291" s="1">
        <v>68909.259999999995</v>
      </c>
      <c r="F291" s="1">
        <v>7794</v>
      </c>
      <c r="G291" s="1">
        <v>0.28399999999999997</v>
      </c>
      <c r="H291" s="1">
        <v>22</v>
      </c>
      <c r="I291" s="1">
        <v>89</v>
      </c>
      <c r="J291" s="1">
        <v>0.33</v>
      </c>
      <c r="K291" s="1">
        <v>0</v>
      </c>
      <c r="L291" s="1">
        <v>4</v>
      </c>
      <c r="M291" s="1">
        <v>696261.49</v>
      </c>
      <c r="N291" s="1">
        <v>72455.350000000006</v>
      </c>
    </row>
    <row r="292" spans="1:14">
      <c r="A292" s="1" t="s">
        <v>94</v>
      </c>
      <c r="B292" s="3">
        <v>45717</v>
      </c>
      <c r="C292" s="1" t="s">
        <v>15</v>
      </c>
      <c r="D292" s="1" t="s">
        <v>16</v>
      </c>
      <c r="E292" s="1">
        <v>56737.3</v>
      </c>
      <c r="F292" s="1">
        <v>8300</v>
      </c>
      <c r="G292" s="1">
        <v>3.2000000000000001E-2</v>
      </c>
      <c r="H292" s="1">
        <v>21</v>
      </c>
      <c r="I292" s="1">
        <v>83.2</v>
      </c>
      <c r="J292" s="1">
        <v>3.44</v>
      </c>
      <c r="K292" s="1">
        <v>1</v>
      </c>
      <c r="L292" s="1">
        <v>4.3</v>
      </c>
      <c r="M292" s="1">
        <v>813316.71</v>
      </c>
      <c r="N292" s="1">
        <v>110077.42</v>
      </c>
    </row>
    <row r="293" spans="1:14">
      <c r="A293" s="1" t="s">
        <v>94</v>
      </c>
      <c r="B293" s="3">
        <v>45748</v>
      </c>
      <c r="C293" s="1" t="s">
        <v>15</v>
      </c>
      <c r="D293" s="1" t="s">
        <v>16</v>
      </c>
      <c r="E293" s="1">
        <v>54080.91</v>
      </c>
      <c r="F293" s="1">
        <v>7083</v>
      </c>
      <c r="G293" s="1">
        <v>0</v>
      </c>
      <c r="H293" s="1">
        <v>15</v>
      </c>
      <c r="I293" s="1">
        <v>97</v>
      </c>
      <c r="J293" s="1">
        <v>5.33</v>
      </c>
      <c r="K293" s="1">
        <v>0</v>
      </c>
      <c r="L293" s="1">
        <v>4.0999999999999996</v>
      </c>
      <c r="M293" s="1">
        <v>702068.92</v>
      </c>
      <c r="N293" s="1">
        <v>111266.63</v>
      </c>
    </row>
    <row r="294" spans="1:14">
      <c r="A294" s="1" t="s">
        <v>95</v>
      </c>
      <c r="B294" s="3">
        <v>45658</v>
      </c>
      <c r="C294" s="1" t="s">
        <v>27</v>
      </c>
      <c r="D294" s="1" t="s">
        <v>18</v>
      </c>
      <c r="E294" s="1">
        <v>51996.32</v>
      </c>
      <c r="F294" s="1">
        <v>3834</v>
      </c>
      <c r="G294" s="1">
        <v>9.6000000000000002E-2</v>
      </c>
      <c r="H294" s="1">
        <v>8</v>
      </c>
      <c r="I294" s="1">
        <v>86.7</v>
      </c>
      <c r="J294" s="1">
        <v>6.04</v>
      </c>
      <c r="K294" s="1">
        <v>0</v>
      </c>
      <c r="L294" s="1">
        <v>4.5</v>
      </c>
      <c r="M294" s="1">
        <v>546223.69999999995</v>
      </c>
      <c r="N294" s="1">
        <v>100769.17</v>
      </c>
    </row>
    <row r="295" spans="1:14">
      <c r="A295" s="1" t="s">
        <v>95</v>
      </c>
      <c r="B295" s="3">
        <v>45689</v>
      </c>
      <c r="C295" s="1" t="s">
        <v>27</v>
      </c>
      <c r="D295" s="1" t="s">
        <v>18</v>
      </c>
      <c r="E295" s="1">
        <v>40102.879999999997</v>
      </c>
      <c r="F295" s="1">
        <v>2358</v>
      </c>
      <c r="G295" s="1">
        <v>0.11899999999999999</v>
      </c>
      <c r="H295" s="1">
        <v>9</v>
      </c>
      <c r="I295" s="1">
        <v>88.7</v>
      </c>
      <c r="J295" s="1">
        <v>1.6</v>
      </c>
      <c r="K295" s="1">
        <v>0</v>
      </c>
      <c r="L295" s="1">
        <v>4.2</v>
      </c>
      <c r="M295" s="1">
        <v>533121.26</v>
      </c>
      <c r="N295" s="1">
        <v>55063.39</v>
      </c>
    </row>
    <row r="296" spans="1:14">
      <c r="A296" s="1" t="s">
        <v>95</v>
      </c>
      <c r="B296" s="3">
        <v>45717</v>
      </c>
      <c r="C296" s="1" t="s">
        <v>27</v>
      </c>
      <c r="D296" s="1" t="s">
        <v>18</v>
      </c>
      <c r="E296" s="1">
        <v>59825.51</v>
      </c>
      <c r="F296" s="1">
        <v>1231</v>
      </c>
      <c r="G296" s="1">
        <v>0.214</v>
      </c>
      <c r="H296" s="1">
        <v>10</v>
      </c>
      <c r="I296" s="1">
        <v>84.8</v>
      </c>
      <c r="J296" s="1">
        <v>8.9600000000000009</v>
      </c>
      <c r="K296" s="1">
        <v>0</v>
      </c>
      <c r="L296" s="1">
        <v>4.7</v>
      </c>
      <c r="M296" s="1">
        <v>498970.32</v>
      </c>
      <c r="N296" s="1">
        <v>69656.7</v>
      </c>
    </row>
    <row r="297" spans="1:14">
      <c r="A297" s="1" t="s">
        <v>95</v>
      </c>
      <c r="B297" s="3">
        <v>45748</v>
      </c>
      <c r="C297" s="1" t="s">
        <v>27</v>
      </c>
      <c r="D297" s="1" t="s">
        <v>18</v>
      </c>
      <c r="E297" s="1">
        <v>27398.28</v>
      </c>
      <c r="F297" s="1">
        <v>1723</v>
      </c>
      <c r="G297" s="1">
        <v>0.17100000000000001</v>
      </c>
      <c r="H297" s="1">
        <v>9</v>
      </c>
      <c r="I297" s="1">
        <v>81</v>
      </c>
      <c r="J297" s="1">
        <v>0.74</v>
      </c>
      <c r="K297" s="1">
        <v>0</v>
      </c>
      <c r="L297" s="1">
        <v>4.5999999999999996</v>
      </c>
      <c r="M297" s="1">
        <v>487738.26</v>
      </c>
      <c r="N297" s="1">
        <v>96435.6</v>
      </c>
    </row>
    <row r="298" spans="1:14">
      <c r="A298" s="1" t="s">
        <v>96</v>
      </c>
      <c r="B298" s="3">
        <v>45658</v>
      </c>
      <c r="C298" s="1" t="s">
        <v>27</v>
      </c>
      <c r="D298" s="1" t="s">
        <v>18</v>
      </c>
      <c r="E298" s="1">
        <v>55599.56</v>
      </c>
      <c r="F298" s="1">
        <v>5896</v>
      </c>
      <c r="G298" s="1">
        <v>3.5999999999999997E-2</v>
      </c>
      <c r="H298" s="1">
        <v>12</v>
      </c>
      <c r="I298" s="1">
        <v>93.1</v>
      </c>
      <c r="J298" s="1">
        <v>6.13</v>
      </c>
      <c r="K298" s="1">
        <v>0</v>
      </c>
      <c r="L298" s="1">
        <v>3.3</v>
      </c>
      <c r="M298" s="1">
        <v>668459.37</v>
      </c>
      <c r="N298" s="1">
        <v>126435.42</v>
      </c>
    </row>
    <row r="299" spans="1:14">
      <c r="A299" s="1" t="s">
        <v>96</v>
      </c>
      <c r="B299" s="3">
        <v>45689</v>
      </c>
      <c r="C299" s="1" t="s">
        <v>27</v>
      </c>
      <c r="D299" s="1" t="s">
        <v>18</v>
      </c>
      <c r="E299" s="1">
        <v>55477.61</v>
      </c>
      <c r="F299" s="1">
        <v>5903</v>
      </c>
      <c r="G299" s="1">
        <v>0.10199999999999999</v>
      </c>
      <c r="H299" s="1">
        <v>14</v>
      </c>
      <c r="I299" s="1">
        <v>96.2</v>
      </c>
      <c r="J299" s="1">
        <v>1.41</v>
      </c>
      <c r="K299" s="1">
        <v>0</v>
      </c>
      <c r="L299" s="1">
        <v>3.3</v>
      </c>
      <c r="M299" s="1">
        <v>763162.45</v>
      </c>
      <c r="N299" s="1">
        <v>162524.04999999999</v>
      </c>
    </row>
    <row r="300" spans="1:14">
      <c r="A300" s="1" t="s">
        <v>96</v>
      </c>
      <c r="B300" s="3">
        <v>45717</v>
      </c>
      <c r="C300" s="1" t="s">
        <v>27</v>
      </c>
      <c r="D300" s="1" t="s">
        <v>18</v>
      </c>
      <c r="E300" s="1">
        <v>46174.7</v>
      </c>
      <c r="F300" s="1">
        <v>4898</v>
      </c>
      <c r="G300" s="1">
        <v>0.114</v>
      </c>
      <c r="H300" s="1">
        <v>11</v>
      </c>
      <c r="I300" s="1">
        <v>91.7</v>
      </c>
      <c r="J300" s="1">
        <v>3.75</v>
      </c>
      <c r="K300" s="1">
        <v>0</v>
      </c>
      <c r="L300" s="1">
        <v>3.1</v>
      </c>
      <c r="M300" s="1">
        <v>599017.32999999996</v>
      </c>
      <c r="N300" s="1">
        <v>134009.92000000001</v>
      </c>
    </row>
    <row r="301" spans="1:14">
      <c r="A301" s="1" t="s">
        <v>96</v>
      </c>
      <c r="B301" s="3">
        <v>45748</v>
      </c>
      <c r="C301" s="1" t="s">
        <v>27</v>
      </c>
      <c r="D301" s="1" t="s">
        <v>18</v>
      </c>
      <c r="E301" s="1">
        <v>24362.98</v>
      </c>
      <c r="F301" s="1">
        <v>1462</v>
      </c>
      <c r="G301" s="1">
        <v>0.11700000000000001</v>
      </c>
      <c r="H301" s="1">
        <v>6</v>
      </c>
      <c r="I301" s="1">
        <v>89.3</v>
      </c>
      <c r="J301" s="1">
        <v>15.06</v>
      </c>
      <c r="K301" s="1">
        <v>0</v>
      </c>
      <c r="L301" s="1">
        <v>3.2</v>
      </c>
      <c r="M301" s="1">
        <v>401582.58</v>
      </c>
      <c r="N301" s="1">
        <v>68454.929999999993</v>
      </c>
    </row>
    <row r="302" spans="1:14">
      <c r="A302" s="1" t="s">
        <v>97</v>
      </c>
      <c r="B302" s="3">
        <v>45658</v>
      </c>
      <c r="C302" s="1" t="s">
        <v>20</v>
      </c>
      <c r="D302" s="1" t="s">
        <v>28</v>
      </c>
      <c r="E302" s="1">
        <v>40647.67</v>
      </c>
      <c r="F302" s="1">
        <v>8252</v>
      </c>
      <c r="G302" s="1">
        <v>0.14099999999999999</v>
      </c>
      <c r="H302" s="1">
        <v>22</v>
      </c>
      <c r="I302" s="1">
        <v>88.2</v>
      </c>
      <c r="J302" s="1">
        <v>5.07</v>
      </c>
      <c r="K302" s="1">
        <v>1</v>
      </c>
      <c r="L302" s="1">
        <v>4.0999999999999996</v>
      </c>
      <c r="M302" s="1">
        <v>703812.99</v>
      </c>
      <c r="N302" s="1">
        <v>133577.98000000001</v>
      </c>
    </row>
    <row r="303" spans="1:14">
      <c r="A303" s="1" t="s">
        <v>97</v>
      </c>
      <c r="B303" s="3">
        <v>45689</v>
      </c>
      <c r="C303" s="1" t="s">
        <v>20</v>
      </c>
      <c r="D303" s="1" t="s">
        <v>28</v>
      </c>
      <c r="E303" s="1">
        <v>63986.98</v>
      </c>
      <c r="F303" s="1">
        <v>7989</v>
      </c>
      <c r="G303" s="1">
        <v>7.3999999999999996E-2</v>
      </c>
      <c r="H303" s="1">
        <v>20</v>
      </c>
      <c r="I303" s="1">
        <v>83.3</v>
      </c>
      <c r="J303" s="1">
        <v>3.6</v>
      </c>
      <c r="K303" s="1">
        <v>0</v>
      </c>
      <c r="L303" s="1">
        <v>3.7</v>
      </c>
      <c r="M303" s="1">
        <v>724346.73</v>
      </c>
      <c r="N303" s="1">
        <v>155013.91</v>
      </c>
    </row>
    <row r="304" spans="1:14">
      <c r="A304" s="1" t="s">
        <v>97</v>
      </c>
      <c r="B304" s="3">
        <v>45717</v>
      </c>
      <c r="C304" s="1" t="s">
        <v>20</v>
      </c>
      <c r="D304" s="1" t="s">
        <v>28</v>
      </c>
      <c r="E304" s="1">
        <v>52843.75</v>
      </c>
      <c r="F304" s="1">
        <v>8268</v>
      </c>
      <c r="G304" s="1">
        <v>0.13800000000000001</v>
      </c>
      <c r="H304" s="1">
        <v>19</v>
      </c>
      <c r="I304" s="1">
        <v>87.3</v>
      </c>
      <c r="J304" s="1">
        <v>4.3899999999999997</v>
      </c>
      <c r="K304" s="1">
        <v>1</v>
      </c>
      <c r="L304" s="1">
        <v>4.7</v>
      </c>
      <c r="M304" s="1">
        <v>730890.01</v>
      </c>
      <c r="N304" s="1">
        <v>105502.56</v>
      </c>
    </row>
    <row r="305" spans="1:14">
      <c r="A305" s="1" t="s">
        <v>97</v>
      </c>
      <c r="B305" s="3">
        <v>45748</v>
      </c>
      <c r="C305" s="1" t="s">
        <v>20</v>
      </c>
      <c r="D305" s="1" t="s">
        <v>28</v>
      </c>
      <c r="E305" s="1">
        <v>31997.25</v>
      </c>
      <c r="F305" s="1">
        <v>8183</v>
      </c>
      <c r="G305" s="1">
        <v>0.19800000000000001</v>
      </c>
      <c r="H305" s="1">
        <v>18</v>
      </c>
      <c r="I305" s="1">
        <v>93</v>
      </c>
      <c r="J305" s="1">
        <v>2.79</v>
      </c>
      <c r="K305" s="1">
        <v>0</v>
      </c>
      <c r="L305" s="1">
        <v>4.2</v>
      </c>
      <c r="M305" s="1">
        <v>780580.95</v>
      </c>
      <c r="N305" s="1">
        <v>138144.46</v>
      </c>
    </row>
    <row r="306" spans="1:14">
      <c r="A306" s="1" t="s">
        <v>98</v>
      </c>
      <c r="B306" s="3">
        <v>45658</v>
      </c>
      <c r="C306" s="1" t="s">
        <v>24</v>
      </c>
      <c r="D306" s="1" t="s">
        <v>16</v>
      </c>
      <c r="E306" s="1">
        <v>54948.02</v>
      </c>
      <c r="F306" s="1">
        <v>6534</v>
      </c>
      <c r="G306" s="1">
        <v>0.183</v>
      </c>
      <c r="H306" s="1">
        <v>14</v>
      </c>
      <c r="I306" s="1">
        <v>94.5</v>
      </c>
      <c r="J306" s="1">
        <v>1.56</v>
      </c>
      <c r="K306" s="1">
        <v>0</v>
      </c>
      <c r="L306" s="1">
        <v>4</v>
      </c>
      <c r="M306" s="1">
        <v>727957.48</v>
      </c>
      <c r="N306" s="1">
        <v>74805.23</v>
      </c>
    </row>
    <row r="307" spans="1:14">
      <c r="A307" s="1" t="s">
        <v>98</v>
      </c>
      <c r="B307" s="3">
        <v>45689</v>
      </c>
      <c r="C307" s="1" t="s">
        <v>24</v>
      </c>
      <c r="D307" s="1" t="s">
        <v>16</v>
      </c>
      <c r="E307" s="1">
        <v>46146.239999999998</v>
      </c>
      <c r="F307" s="1">
        <v>5804</v>
      </c>
      <c r="G307" s="1">
        <v>4.7E-2</v>
      </c>
      <c r="H307" s="1">
        <v>16</v>
      </c>
      <c r="I307" s="1">
        <v>86.9</v>
      </c>
      <c r="J307" s="1">
        <v>15.82</v>
      </c>
      <c r="K307" s="1">
        <v>0</v>
      </c>
      <c r="L307" s="1">
        <v>3.8</v>
      </c>
      <c r="M307" s="1">
        <v>538376</v>
      </c>
      <c r="N307" s="1">
        <v>87605.62</v>
      </c>
    </row>
    <row r="308" spans="1:14">
      <c r="A308" s="1" t="s">
        <v>98</v>
      </c>
      <c r="B308" s="3">
        <v>45717</v>
      </c>
      <c r="C308" s="1" t="s">
        <v>24</v>
      </c>
      <c r="D308" s="1" t="s">
        <v>16</v>
      </c>
      <c r="E308" s="1">
        <v>22387.26</v>
      </c>
      <c r="F308" s="1">
        <v>6301</v>
      </c>
      <c r="G308" s="1">
        <v>0.14599999999999999</v>
      </c>
      <c r="H308" s="1">
        <v>14</v>
      </c>
      <c r="I308" s="1">
        <v>85.9</v>
      </c>
      <c r="J308" s="1">
        <v>1.17</v>
      </c>
      <c r="K308" s="1">
        <v>1</v>
      </c>
      <c r="L308" s="1">
        <v>3.7</v>
      </c>
      <c r="M308" s="1">
        <v>665342.49</v>
      </c>
      <c r="N308" s="1">
        <v>93441.81</v>
      </c>
    </row>
    <row r="309" spans="1:14">
      <c r="A309" s="1" t="s">
        <v>98</v>
      </c>
      <c r="B309" s="3">
        <v>45748</v>
      </c>
      <c r="C309" s="1" t="s">
        <v>24</v>
      </c>
      <c r="D309" s="1" t="s">
        <v>16</v>
      </c>
      <c r="E309" s="1">
        <v>60684.05</v>
      </c>
      <c r="F309" s="1">
        <v>6399</v>
      </c>
      <c r="G309" s="1">
        <v>7.4999999999999997E-2</v>
      </c>
      <c r="H309" s="1">
        <v>16</v>
      </c>
      <c r="I309" s="1">
        <v>99</v>
      </c>
      <c r="J309" s="1">
        <v>3.82</v>
      </c>
      <c r="K309" s="1">
        <v>0</v>
      </c>
      <c r="L309" s="1">
        <v>3.5</v>
      </c>
      <c r="M309" s="1">
        <v>651164.18000000005</v>
      </c>
      <c r="N309" s="1">
        <v>109466.5</v>
      </c>
    </row>
    <row r="310" spans="1:14">
      <c r="A310" s="1" t="s">
        <v>99</v>
      </c>
      <c r="B310" s="3">
        <v>45658</v>
      </c>
      <c r="C310" s="1" t="s">
        <v>24</v>
      </c>
      <c r="D310" s="1" t="s">
        <v>18</v>
      </c>
      <c r="E310" s="1">
        <v>48465.599999999999</v>
      </c>
      <c r="F310" s="1">
        <v>5759</v>
      </c>
      <c r="G310" s="1">
        <v>0.154</v>
      </c>
      <c r="H310" s="1">
        <v>13</v>
      </c>
      <c r="I310" s="1">
        <v>87.5</v>
      </c>
      <c r="J310" s="1">
        <v>4.1399999999999997</v>
      </c>
      <c r="K310" s="1">
        <v>0</v>
      </c>
      <c r="L310" s="1">
        <v>4</v>
      </c>
      <c r="M310" s="1">
        <v>628538.30000000005</v>
      </c>
      <c r="N310" s="1">
        <v>112509.15</v>
      </c>
    </row>
    <row r="311" spans="1:14">
      <c r="A311" s="1" t="s">
        <v>99</v>
      </c>
      <c r="B311" s="3">
        <v>45689</v>
      </c>
      <c r="C311" s="1" t="s">
        <v>24</v>
      </c>
      <c r="D311" s="1" t="s">
        <v>18</v>
      </c>
      <c r="E311" s="1">
        <v>23702.38</v>
      </c>
      <c r="F311" s="1">
        <v>5285</v>
      </c>
      <c r="G311" s="1">
        <v>0.16700000000000001</v>
      </c>
      <c r="H311" s="1">
        <v>14</v>
      </c>
      <c r="I311" s="1">
        <v>79.7</v>
      </c>
      <c r="J311" s="1">
        <v>1.1000000000000001</v>
      </c>
      <c r="K311" s="1">
        <v>0</v>
      </c>
      <c r="L311" s="1">
        <v>4.3</v>
      </c>
      <c r="M311" s="1">
        <v>536524.84</v>
      </c>
      <c r="N311" s="1">
        <v>92752.94</v>
      </c>
    </row>
    <row r="312" spans="1:14">
      <c r="A312" s="1" t="s">
        <v>99</v>
      </c>
      <c r="B312" s="3">
        <v>45717</v>
      </c>
      <c r="C312" s="1" t="s">
        <v>24</v>
      </c>
      <c r="D312" s="1" t="s">
        <v>18</v>
      </c>
      <c r="E312" s="1">
        <v>54322.94</v>
      </c>
      <c r="F312" s="1">
        <v>5434</v>
      </c>
      <c r="G312" s="1">
        <v>0.2</v>
      </c>
      <c r="H312" s="1">
        <v>13</v>
      </c>
      <c r="I312" s="1">
        <v>85.7</v>
      </c>
      <c r="J312" s="1">
        <v>10.6</v>
      </c>
      <c r="K312" s="1">
        <v>0</v>
      </c>
      <c r="L312" s="1">
        <v>4.2</v>
      </c>
      <c r="M312" s="1">
        <v>621677.30000000005</v>
      </c>
      <c r="N312" s="1">
        <v>105192.52</v>
      </c>
    </row>
    <row r="313" spans="1:14">
      <c r="A313" s="1" t="s">
        <v>99</v>
      </c>
      <c r="B313" s="3">
        <v>45748</v>
      </c>
      <c r="C313" s="1" t="s">
        <v>24</v>
      </c>
      <c r="D313" s="1" t="s">
        <v>18</v>
      </c>
      <c r="E313" s="1">
        <v>86026.58</v>
      </c>
      <c r="F313" s="1">
        <v>7479</v>
      </c>
      <c r="G313" s="1">
        <v>0.14199999999999999</v>
      </c>
      <c r="H313" s="1">
        <v>20</v>
      </c>
      <c r="I313" s="1">
        <v>89</v>
      </c>
      <c r="J313" s="1">
        <v>0.9</v>
      </c>
      <c r="K313" s="1">
        <v>0</v>
      </c>
      <c r="L313" s="1"/>
      <c r="M313" s="1">
        <v>771129.07</v>
      </c>
      <c r="N313" s="1">
        <v>116851.13</v>
      </c>
    </row>
    <row r="314" spans="1:14">
      <c r="A314" s="1" t="s">
        <v>100</v>
      </c>
      <c r="B314" s="3">
        <v>45658</v>
      </c>
      <c r="C314" s="1" t="s">
        <v>20</v>
      </c>
      <c r="D314" s="1" t="s">
        <v>16</v>
      </c>
      <c r="E314" s="1">
        <v>78967.520000000004</v>
      </c>
      <c r="F314" s="1">
        <v>6164</v>
      </c>
      <c r="G314" s="1">
        <v>2.1000000000000001E-2</v>
      </c>
      <c r="H314" s="1">
        <v>16</v>
      </c>
      <c r="I314" s="1">
        <v>85.5</v>
      </c>
      <c r="J314" s="1">
        <v>0.2</v>
      </c>
      <c r="K314" s="1">
        <v>0</v>
      </c>
      <c r="L314" s="1">
        <v>3.4</v>
      </c>
      <c r="M314" s="1">
        <v>702052.47</v>
      </c>
      <c r="N314" s="1">
        <v>121732.51</v>
      </c>
    </row>
    <row r="315" spans="1:14">
      <c r="A315" s="1" t="s">
        <v>100</v>
      </c>
      <c r="B315" s="3">
        <v>45689</v>
      </c>
      <c r="C315" s="1" t="s">
        <v>20</v>
      </c>
      <c r="D315" s="1" t="s">
        <v>16</v>
      </c>
      <c r="E315" s="1">
        <v>46767.99</v>
      </c>
      <c r="F315" s="1">
        <v>7973</v>
      </c>
      <c r="G315" s="1">
        <v>0.183</v>
      </c>
      <c r="H315" s="1">
        <v>18</v>
      </c>
      <c r="I315" s="1">
        <v>94.8</v>
      </c>
      <c r="J315" s="1">
        <v>4.67</v>
      </c>
      <c r="K315" s="1">
        <v>0</v>
      </c>
      <c r="L315" s="1"/>
      <c r="M315" s="1">
        <v>688368.46</v>
      </c>
      <c r="N315" s="1">
        <v>93588.42</v>
      </c>
    </row>
    <row r="316" spans="1:14">
      <c r="A316" s="1" t="s">
        <v>100</v>
      </c>
      <c r="B316" s="3">
        <v>45717</v>
      </c>
      <c r="C316" s="1" t="s">
        <v>20</v>
      </c>
      <c r="D316" s="1" t="s">
        <v>16</v>
      </c>
      <c r="E316" s="1">
        <v>62507.16</v>
      </c>
      <c r="F316" s="1">
        <v>6000</v>
      </c>
      <c r="G316" s="1">
        <v>9.0999999999999998E-2</v>
      </c>
      <c r="H316" s="1">
        <v>14</v>
      </c>
      <c r="I316" s="1">
        <v>98.2</v>
      </c>
      <c r="J316" s="1">
        <v>4.38</v>
      </c>
      <c r="K316" s="1">
        <v>1</v>
      </c>
      <c r="L316" s="1">
        <v>3.9</v>
      </c>
      <c r="M316" s="1">
        <v>712375.77</v>
      </c>
      <c r="N316" s="1">
        <v>104171.53</v>
      </c>
    </row>
    <row r="317" spans="1:14">
      <c r="A317" s="1" t="s">
        <v>100</v>
      </c>
      <c r="B317" s="3">
        <v>45748</v>
      </c>
      <c r="C317" s="1" t="s">
        <v>20</v>
      </c>
      <c r="D317" s="1" t="s">
        <v>16</v>
      </c>
      <c r="E317" s="1">
        <v>66456.28</v>
      </c>
      <c r="F317" s="1">
        <v>9967</v>
      </c>
      <c r="G317" s="1">
        <v>0.108</v>
      </c>
      <c r="H317" s="1">
        <v>20</v>
      </c>
      <c r="I317" s="1">
        <v>94.7</v>
      </c>
      <c r="J317" s="1">
        <v>4.4800000000000004</v>
      </c>
      <c r="K317" s="1">
        <v>0</v>
      </c>
      <c r="L317" s="1">
        <v>4.2</v>
      </c>
      <c r="M317" s="1">
        <v>844710.67</v>
      </c>
      <c r="N317" s="1">
        <v>137140.18</v>
      </c>
    </row>
    <row r="318" spans="1:14">
      <c r="A318" s="1" t="s">
        <v>101</v>
      </c>
      <c r="B318" s="3">
        <v>45658</v>
      </c>
      <c r="C318" s="1" t="s">
        <v>15</v>
      </c>
      <c r="D318" s="1" t="s">
        <v>16</v>
      </c>
      <c r="E318" s="1">
        <v>76614.320000000007</v>
      </c>
      <c r="F318" s="1">
        <v>5639</v>
      </c>
      <c r="G318" s="1">
        <v>0.17399999999999999</v>
      </c>
      <c r="H318" s="1">
        <v>15</v>
      </c>
      <c r="I318" s="1">
        <v>92.9</v>
      </c>
      <c r="J318" s="1">
        <v>1.02</v>
      </c>
      <c r="K318" s="1">
        <v>1</v>
      </c>
      <c r="L318" s="1">
        <v>4</v>
      </c>
      <c r="M318" s="1">
        <v>620264.19999999995</v>
      </c>
      <c r="N318" s="1">
        <v>91365.64</v>
      </c>
    </row>
    <row r="319" spans="1:14">
      <c r="A319" s="1" t="s">
        <v>101</v>
      </c>
      <c r="B319" s="3">
        <v>45689</v>
      </c>
      <c r="C319" s="1" t="s">
        <v>15</v>
      </c>
      <c r="D319" s="1" t="s">
        <v>16</v>
      </c>
      <c r="E319" s="1">
        <v>24088.06</v>
      </c>
      <c r="F319" s="1">
        <v>3466</v>
      </c>
      <c r="G319" s="1">
        <v>0</v>
      </c>
      <c r="H319" s="1">
        <v>11</v>
      </c>
      <c r="I319" s="1">
        <v>88</v>
      </c>
      <c r="J319" s="1">
        <v>0.2</v>
      </c>
      <c r="K319" s="1">
        <v>0</v>
      </c>
      <c r="L319" s="1">
        <v>3.8</v>
      </c>
      <c r="M319" s="1">
        <v>536845.42000000004</v>
      </c>
      <c r="N319" s="1">
        <v>107473.75</v>
      </c>
    </row>
    <row r="320" spans="1:14">
      <c r="A320" s="1" t="s">
        <v>101</v>
      </c>
      <c r="B320" s="3">
        <v>45717</v>
      </c>
      <c r="C320" s="1" t="s">
        <v>15</v>
      </c>
      <c r="D320" s="1" t="s">
        <v>16</v>
      </c>
      <c r="E320" s="1">
        <v>81902.58</v>
      </c>
      <c r="F320" s="1">
        <v>7775</v>
      </c>
      <c r="G320" s="1">
        <v>0.215</v>
      </c>
      <c r="H320" s="1">
        <v>20</v>
      </c>
      <c r="I320" s="1">
        <v>85.2</v>
      </c>
      <c r="J320" s="1">
        <v>4.8899999999999997</v>
      </c>
      <c r="K320" s="1">
        <v>1</v>
      </c>
      <c r="L320" s="1">
        <v>4.2</v>
      </c>
      <c r="M320" s="1">
        <v>726776.22</v>
      </c>
      <c r="N320" s="1">
        <v>90804.49</v>
      </c>
    </row>
    <row r="321" spans="1:14">
      <c r="A321" s="1" t="s">
        <v>101</v>
      </c>
      <c r="B321" s="3">
        <v>45748</v>
      </c>
      <c r="C321" s="1" t="s">
        <v>15</v>
      </c>
      <c r="D321" s="1" t="s">
        <v>16</v>
      </c>
      <c r="E321" s="1">
        <v>40553.11</v>
      </c>
      <c r="F321" s="1">
        <v>5317</v>
      </c>
      <c r="G321" s="1">
        <v>0.16500000000000001</v>
      </c>
      <c r="H321" s="1">
        <v>17</v>
      </c>
      <c r="I321" s="1">
        <v>84.3</v>
      </c>
      <c r="J321" s="1">
        <v>11.82</v>
      </c>
      <c r="K321" s="1">
        <v>0</v>
      </c>
      <c r="L321" s="1">
        <v>4.0999999999999996</v>
      </c>
      <c r="M321" s="1">
        <v>559660.84</v>
      </c>
      <c r="N321" s="1">
        <v>71443.61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F7429-A7D5-4193-8EE5-70613EF7429F}">
  <dimension ref="A1:P321"/>
  <sheetViews>
    <sheetView zoomScale="66" workbookViewId="0">
      <selection activeCell="V10" sqref="V10"/>
    </sheetView>
  </sheetViews>
  <sheetFormatPr defaultRowHeight="15"/>
  <cols>
    <col min="1" max="1" width="11.85546875" customWidth="1"/>
    <col min="2" max="2" width="11" customWidth="1"/>
    <col min="3" max="3" width="10.5703125" customWidth="1"/>
    <col min="4" max="4" width="11.42578125" customWidth="1"/>
    <col min="5" max="5" width="12.7109375" customWidth="1"/>
    <col min="6" max="6" width="9.85546875" customWidth="1"/>
    <col min="7" max="7" width="14.42578125" customWidth="1"/>
    <col min="8" max="8" width="13.28515625" customWidth="1"/>
    <col min="9" max="9" width="16.28515625" customWidth="1"/>
    <col min="11" max="11" width="13.42578125" customWidth="1"/>
    <col min="12" max="12" width="11.140625" customWidth="1"/>
    <col min="13" max="13" width="21" customWidth="1"/>
    <col min="14" max="14" width="21.7109375" customWidth="1"/>
    <col min="15" max="15" width="24.42578125" customWidth="1"/>
    <col min="16" max="16" width="26.140625" customWidth="1"/>
  </cols>
  <sheetData>
    <row r="1" spans="1:16" ht="6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128</v>
      </c>
      <c r="P1" s="5" t="s">
        <v>113</v>
      </c>
    </row>
    <row r="2" spans="1:16">
      <c r="A2" s="4" t="s">
        <v>49</v>
      </c>
      <c r="B2" s="6">
        <v>45748</v>
      </c>
      <c r="C2" s="4" t="s">
        <v>15</v>
      </c>
      <c r="D2" s="4" t="s">
        <v>28</v>
      </c>
      <c r="E2" s="4">
        <v>52758.01</v>
      </c>
      <c r="F2" s="4">
        <v>4063</v>
      </c>
      <c r="G2" s="4">
        <v>5.7000000000000002E-2</v>
      </c>
      <c r="H2" s="4">
        <v>12</v>
      </c>
      <c r="I2" s="4">
        <v>91.7</v>
      </c>
      <c r="J2" s="4">
        <v>0.92</v>
      </c>
      <c r="K2" s="4">
        <v>0</v>
      </c>
      <c r="L2" s="4">
        <v>3.5</v>
      </c>
      <c r="M2" s="4">
        <v>713611.16</v>
      </c>
      <c r="N2" s="4">
        <v>129717.18</v>
      </c>
      <c r="O2">
        <f>396109.2647+(1.143827975*E2)+(33.53435949*F2)</f>
        <v>592705.45505119977</v>
      </c>
      <c r="P2">
        <f>M2-O2</f>
        <v>120905.70494880027</v>
      </c>
    </row>
    <row r="3" spans="1:16">
      <c r="A3" s="4" t="s">
        <v>47</v>
      </c>
      <c r="B3" s="6">
        <v>45748</v>
      </c>
      <c r="C3" s="4" t="s">
        <v>15</v>
      </c>
      <c r="D3" s="4" t="s">
        <v>28</v>
      </c>
      <c r="E3" s="4">
        <v>32266.639999999999</v>
      </c>
      <c r="F3" s="4">
        <v>2414</v>
      </c>
      <c r="G3" s="4">
        <v>0.08</v>
      </c>
      <c r="H3" s="4">
        <v>7</v>
      </c>
      <c r="I3" s="4">
        <v>92.1</v>
      </c>
      <c r="J3" s="4">
        <v>1.48</v>
      </c>
      <c r="K3" s="4">
        <v>0</v>
      </c>
      <c r="L3" s="4">
        <v>5</v>
      </c>
      <c r="M3" s="4">
        <v>625514.04</v>
      </c>
      <c r="N3" s="4">
        <v>120685.08</v>
      </c>
      <c r="O3">
        <f>396109.2647+(1.143827975*E3)+(33.53435949*F3)</f>
        <v>513968.69400011399</v>
      </c>
      <c r="P3">
        <f>M3-O3</f>
        <v>111545.34599988605</v>
      </c>
    </row>
    <row r="4" spans="1:16">
      <c r="A4" s="4" t="s">
        <v>96</v>
      </c>
      <c r="B4" s="6">
        <v>45689</v>
      </c>
      <c r="C4" s="4" t="s">
        <v>27</v>
      </c>
      <c r="D4" s="4" t="s">
        <v>18</v>
      </c>
      <c r="E4" s="4">
        <v>55477.61</v>
      </c>
      <c r="F4" s="4">
        <v>5903</v>
      </c>
      <c r="G4" s="4">
        <v>0.10199999999999999</v>
      </c>
      <c r="H4" s="4">
        <v>14</v>
      </c>
      <c r="I4" s="4">
        <v>96.2</v>
      </c>
      <c r="J4" s="4">
        <v>1.41</v>
      </c>
      <c r="K4" s="4">
        <v>0</v>
      </c>
      <c r="L4" s="4">
        <v>3.3</v>
      </c>
      <c r="M4" s="4">
        <v>763162.45</v>
      </c>
      <c r="N4" s="4">
        <v>162524.04999999999</v>
      </c>
      <c r="O4">
        <f>396109.2647+(1.143827975*E4)+(33.53435949*F4)</f>
        <v>657519.43107360974</v>
      </c>
      <c r="P4">
        <f>M4-O4</f>
        <v>105643.01892639021</v>
      </c>
    </row>
    <row r="5" spans="1:16">
      <c r="A5" s="4" t="s">
        <v>85</v>
      </c>
      <c r="B5" s="6">
        <v>45689</v>
      </c>
      <c r="C5" s="4" t="s">
        <v>24</v>
      </c>
      <c r="D5" s="4" t="s">
        <v>21</v>
      </c>
      <c r="E5" s="4">
        <v>63582.11</v>
      </c>
      <c r="F5" s="4">
        <v>6856</v>
      </c>
      <c r="G5" s="4">
        <v>7.3999999999999996E-2</v>
      </c>
      <c r="H5" s="4">
        <v>17</v>
      </c>
      <c r="I5" s="4">
        <v>89.5</v>
      </c>
      <c r="J5" s="4">
        <v>5.48</v>
      </c>
      <c r="K5" s="4">
        <v>0</v>
      </c>
      <c r="L5" s="4">
        <v>3.2</v>
      </c>
      <c r="M5" s="4">
        <v>799046.94</v>
      </c>
      <c r="N5" s="4">
        <v>144553.64000000001</v>
      </c>
      <c r="O5">
        <f>396109.2647+(1.143827975*E5)+(33.53435949*F5)</f>
        <v>698747.82949096733</v>
      </c>
      <c r="P5">
        <f>M5-O5</f>
        <v>100299.11050903262</v>
      </c>
    </row>
    <row r="6" spans="1:16">
      <c r="A6" s="4" t="s">
        <v>53</v>
      </c>
      <c r="B6" s="6">
        <v>45658</v>
      </c>
      <c r="C6" s="4" t="s">
        <v>24</v>
      </c>
      <c r="D6" s="4" t="s">
        <v>18</v>
      </c>
      <c r="E6" s="4">
        <v>61541.21</v>
      </c>
      <c r="F6" s="4">
        <v>10396</v>
      </c>
      <c r="G6" s="4">
        <v>0.123</v>
      </c>
      <c r="H6" s="4">
        <v>25</v>
      </c>
      <c r="I6" s="4">
        <v>88.1</v>
      </c>
      <c r="J6" s="4">
        <v>2.34</v>
      </c>
      <c r="K6" s="4">
        <v>1</v>
      </c>
      <c r="L6" s="4">
        <v>4.8</v>
      </c>
      <c r="M6" s="4">
        <v>914544.17</v>
      </c>
      <c r="N6" s="4">
        <v>79831.73</v>
      </c>
      <c r="O6">
        <f>396109.2647+(1.143827975*E6)+(33.53435949*F6)</f>
        <v>815125.02357138973</v>
      </c>
      <c r="P6">
        <f>M6-O6</f>
        <v>99419.146428610315</v>
      </c>
    </row>
    <row r="7" spans="1:16">
      <c r="A7" s="4" t="s">
        <v>68</v>
      </c>
      <c r="B7" s="6">
        <v>45717</v>
      </c>
      <c r="C7" s="4" t="s">
        <v>20</v>
      </c>
      <c r="D7" s="4" t="s">
        <v>18</v>
      </c>
      <c r="E7" s="4">
        <v>48031.74</v>
      </c>
      <c r="F7" s="4">
        <v>6516</v>
      </c>
      <c r="G7" s="4">
        <v>6.7000000000000004E-2</v>
      </c>
      <c r="H7" s="4">
        <v>14</v>
      </c>
      <c r="I7" s="4">
        <v>99</v>
      </c>
      <c r="J7" s="4">
        <v>0.48</v>
      </c>
      <c r="K7" s="4">
        <v>1</v>
      </c>
      <c r="L7" s="4">
        <v>4.3</v>
      </c>
      <c r="M7" s="4">
        <v>765906.95</v>
      </c>
      <c r="N7" s="4">
        <v>114005.9</v>
      </c>
      <c r="O7">
        <f>396109.2647+(1.143827975*E7)+(33.53435949*F7)</f>
        <v>669559.19903676654</v>
      </c>
      <c r="P7">
        <f>M7-O7</f>
        <v>96347.750963233411</v>
      </c>
    </row>
    <row r="8" spans="1:16">
      <c r="A8" s="4" t="s">
        <v>86</v>
      </c>
      <c r="B8" s="6">
        <v>45658</v>
      </c>
      <c r="C8" s="4" t="s">
        <v>24</v>
      </c>
      <c r="D8" s="4" t="s">
        <v>28</v>
      </c>
      <c r="E8" s="4">
        <v>65272.58</v>
      </c>
      <c r="F8" s="4">
        <v>8165</v>
      </c>
      <c r="G8" s="4">
        <v>5.0999999999999997E-2</v>
      </c>
      <c r="H8" s="4">
        <v>19</v>
      </c>
      <c r="I8" s="4">
        <v>87.8</v>
      </c>
      <c r="J8" s="4">
        <v>1.26</v>
      </c>
      <c r="K8" s="4">
        <v>1</v>
      </c>
      <c r="L8" s="4">
        <v>4.3</v>
      </c>
      <c r="M8" s="4">
        <v>840108.12</v>
      </c>
      <c r="N8" s="4">
        <v>126587.01</v>
      </c>
      <c r="O8">
        <f>396109.2647+(1.143827975*E8)+(33.53435949*F8)</f>
        <v>744577.91294027539</v>
      </c>
      <c r="P8">
        <f>M8-O8</f>
        <v>95530.207059724606</v>
      </c>
    </row>
    <row r="9" spans="1:16">
      <c r="A9" s="4" t="s">
        <v>62</v>
      </c>
      <c r="B9" s="6">
        <v>45689</v>
      </c>
      <c r="C9" s="4" t="s">
        <v>24</v>
      </c>
      <c r="D9" s="4" t="s">
        <v>18</v>
      </c>
      <c r="E9" s="4">
        <v>48438.85</v>
      </c>
      <c r="F9" s="4">
        <v>6992</v>
      </c>
      <c r="G9" s="4">
        <v>3.4000000000000002E-2</v>
      </c>
      <c r="H9" s="4">
        <v>20</v>
      </c>
      <c r="I9" s="4">
        <v>91</v>
      </c>
      <c r="J9" s="4">
        <v>4.3600000000000003</v>
      </c>
      <c r="K9" s="4">
        <v>0</v>
      </c>
      <c r="L9" s="4">
        <v>4.2</v>
      </c>
      <c r="M9" s="4">
        <v>778298.88</v>
      </c>
      <c r="N9" s="4">
        <v>130076.72</v>
      </c>
      <c r="O9">
        <f>396109.2647+(1.143827975*E9)+(33.53435949*F9)</f>
        <v>685987.21796090878</v>
      </c>
      <c r="P9">
        <f>M9-O9</f>
        <v>92311.662039091229</v>
      </c>
    </row>
    <row r="10" spans="1:16">
      <c r="A10" s="4" t="s">
        <v>42</v>
      </c>
      <c r="B10" s="6">
        <v>45717</v>
      </c>
      <c r="C10" s="4" t="s">
        <v>27</v>
      </c>
      <c r="D10" s="4" t="s">
        <v>28</v>
      </c>
      <c r="E10" s="4">
        <v>72731.14</v>
      </c>
      <c r="F10" s="4">
        <v>4644</v>
      </c>
      <c r="G10" s="4">
        <v>8.4000000000000005E-2</v>
      </c>
      <c r="H10" s="4">
        <v>15</v>
      </c>
      <c r="I10" s="4">
        <v>87.1</v>
      </c>
      <c r="J10" s="4">
        <v>2.66</v>
      </c>
      <c r="K10" s="4">
        <v>0</v>
      </c>
      <c r="L10" s="4">
        <v>4.5999999999999996</v>
      </c>
      <c r="M10" s="4">
        <v>727241.86</v>
      </c>
      <c r="N10" s="4">
        <v>155810.29999999999</v>
      </c>
      <c r="O10">
        <f>396109.2647+(1.143827975*E10)+(33.53435949*F10)</f>
        <v>635034.74275720143</v>
      </c>
      <c r="P10">
        <f>M10-O10</f>
        <v>92207.117242798558</v>
      </c>
    </row>
    <row r="11" spans="1:16">
      <c r="A11" s="4" t="s">
        <v>48</v>
      </c>
      <c r="B11" s="6">
        <v>45717</v>
      </c>
      <c r="C11" s="4" t="s">
        <v>27</v>
      </c>
      <c r="D11" s="4" t="s">
        <v>18</v>
      </c>
      <c r="E11" s="4">
        <v>64294.23</v>
      </c>
      <c r="F11" s="4">
        <v>6992</v>
      </c>
      <c r="G11" s="4">
        <v>0.13300000000000001</v>
      </c>
      <c r="H11" s="4">
        <v>14</v>
      </c>
      <c r="I11" s="4">
        <v>94.1</v>
      </c>
      <c r="J11" s="4">
        <v>0.25</v>
      </c>
      <c r="K11" s="4">
        <v>0</v>
      </c>
      <c r="L11" s="4">
        <v>3</v>
      </c>
      <c r="M11" s="4">
        <v>795153.84</v>
      </c>
      <c r="N11" s="4">
        <v>143194.21</v>
      </c>
      <c r="O11">
        <f>396109.2647+(1.143827975*E11)+(33.53435949*F11)</f>
        <v>704123.04515916423</v>
      </c>
      <c r="P11">
        <f>M11-O11</f>
        <v>91030.794840835733</v>
      </c>
    </row>
    <row r="12" spans="1:16">
      <c r="A12" s="4" t="s">
        <v>37</v>
      </c>
      <c r="B12" s="6">
        <v>45658</v>
      </c>
      <c r="C12" s="4" t="s">
        <v>24</v>
      </c>
      <c r="D12" s="4" t="s">
        <v>18</v>
      </c>
      <c r="E12" s="4">
        <v>74907.98</v>
      </c>
      <c r="F12" s="4">
        <v>5306</v>
      </c>
      <c r="G12" s="4">
        <v>6.2E-2</v>
      </c>
      <c r="H12" s="4">
        <v>16</v>
      </c>
      <c r="I12" s="4">
        <v>95.6</v>
      </c>
      <c r="J12" s="4">
        <v>1.02</v>
      </c>
      <c r="K12" s="4">
        <v>0</v>
      </c>
      <c r="L12" s="4">
        <v>3.7</v>
      </c>
      <c r="M12" s="4">
        <v>749559.71</v>
      </c>
      <c r="N12" s="4">
        <v>144522.53</v>
      </c>
      <c r="O12">
        <f>396109.2647+(1.143827975*E12)+(33.53435949*F12)</f>
        <v>659724.41922868043</v>
      </c>
      <c r="P12">
        <f>M12-O12</f>
        <v>89835.290771319531</v>
      </c>
    </row>
    <row r="13" spans="1:16">
      <c r="A13" s="4" t="s">
        <v>17</v>
      </c>
      <c r="B13" s="6">
        <v>45748</v>
      </c>
      <c r="C13" s="4" t="s">
        <v>15</v>
      </c>
      <c r="D13" s="4" t="s">
        <v>18</v>
      </c>
      <c r="E13" s="4">
        <v>68148.52</v>
      </c>
      <c r="F13" s="4">
        <v>8567</v>
      </c>
      <c r="G13" s="4">
        <v>0.127</v>
      </c>
      <c r="H13" s="4">
        <v>23</v>
      </c>
      <c r="I13" s="4">
        <v>95.6</v>
      </c>
      <c r="J13" s="4">
        <v>0.8</v>
      </c>
      <c r="K13" s="4">
        <v>0</v>
      </c>
      <c r="L13" s="4">
        <v>3.9</v>
      </c>
      <c r="M13" s="4">
        <v>850164.26</v>
      </c>
      <c r="N13" s="4">
        <v>149262.75</v>
      </c>
      <c r="O13">
        <f>396109.2647+(1.143827975*E13)+(33.53435949*F13)</f>
        <v>761348.30608167709</v>
      </c>
      <c r="P13">
        <f>M13-O13</f>
        <v>88815.953918322921</v>
      </c>
    </row>
    <row r="14" spans="1:16">
      <c r="A14" s="4" t="s">
        <v>66</v>
      </c>
      <c r="B14" s="6">
        <v>45689</v>
      </c>
      <c r="C14" s="4" t="s">
        <v>27</v>
      </c>
      <c r="D14" s="4" t="s">
        <v>21</v>
      </c>
      <c r="E14" s="4">
        <v>29389.32</v>
      </c>
      <c r="F14" s="4">
        <v>7925</v>
      </c>
      <c r="G14" s="4">
        <v>0.17699999999999999</v>
      </c>
      <c r="H14" s="4">
        <v>21</v>
      </c>
      <c r="I14" s="4">
        <v>90.9</v>
      </c>
      <c r="J14" s="4">
        <v>7.86</v>
      </c>
      <c r="K14" s="4">
        <v>0</v>
      </c>
      <c r="L14" s="4">
        <v>4</v>
      </c>
      <c r="M14" s="4">
        <v>783582</v>
      </c>
      <c r="N14" s="4">
        <v>130670.93</v>
      </c>
      <c r="O14">
        <f>396109.2647+(1.143827975*E14)+(33.53435949*F14)</f>
        <v>695485.39004047704</v>
      </c>
      <c r="P14">
        <f>M14-O14</f>
        <v>88096.609959522961</v>
      </c>
    </row>
    <row r="15" spans="1:16">
      <c r="A15" s="4" t="s">
        <v>72</v>
      </c>
      <c r="B15" s="6">
        <v>45689</v>
      </c>
      <c r="C15" s="4" t="s">
        <v>15</v>
      </c>
      <c r="D15" s="4" t="s">
        <v>21</v>
      </c>
      <c r="E15" s="4">
        <v>78111.97</v>
      </c>
      <c r="F15" s="4">
        <v>6389</v>
      </c>
      <c r="G15" s="4">
        <v>0.15</v>
      </c>
      <c r="H15" s="4">
        <v>13</v>
      </c>
      <c r="I15" s="4">
        <v>83.9</v>
      </c>
      <c r="J15" s="4">
        <v>3.05</v>
      </c>
      <c r="K15" s="4">
        <v>0</v>
      </c>
      <c r="L15" s="4">
        <v>4.8</v>
      </c>
      <c r="M15" s="4">
        <v>787715.51</v>
      </c>
      <c r="N15" s="4">
        <v>128969.62</v>
      </c>
      <c r="O15">
        <f>396109.2647+(1.143827975*E15)+(33.53435949*F15)</f>
        <v>699706.94394997077</v>
      </c>
      <c r="P15">
        <f>M15-O15</f>
        <v>88008.566050029243</v>
      </c>
    </row>
    <row r="16" spans="1:16">
      <c r="A16" s="4" t="s">
        <v>19</v>
      </c>
      <c r="B16" s="6">
        <v>45658</v>
      </c>
      <c r="C16" s="4" t="s">
        <v>20</v>
      </c>
      <c r="D16" s="4" t="s">
        <v>21</v>
      </c>
      <c r="E16" s="4">
        <v>71838.86</v>
      </c>
      <c r="F16" s="4">
        <v>10979</v>
      </c>
      <c r="G16" s="4">
        <v>0.215</v>
      </c>
      <c r="H16" s="4">
        <v>26</v>
      </c>
      <c r="I16" s="4">
        <v>88.6</v>
      </c>
      <c r="J16" s="4">
        <v>7.7</v>
      </c>
      <c r="K16" s="4">
        <v>1</v>
      </c>
      <c r="L16" s="4">
        <v>3.8</v>
      </c>
      <c r="M16" s="4">
        <v>930581.7</v>
      </c>
      <c r="N16" s="4">
        <v>136207.98000000001</v>
      </c>
      <c r="O16">
        <f>396109.2647+(1.143827975*E16)+(33.53435949*F16)</f>
        <v>846454.29530081851</v>
      </c>
      <c r="P16">
        <f>M16-O16</f>
        <v>84127.404699181439</v>
      </c>
    </row>
    <row r="17" spans="1:16">
      <c r="A17" s="4" t="s">
        <v>40</v>
      </c>
      <c r="B17" s="6">
        <v>45717</v>
      </c>
      <c r="C17" s="4" t="s">
        <v>15</v>
      </c>
      <c r="D17" s="4" t="s">
        <v>16</v>
      </c>
      <c r="E17" s="4">
        <v>70144.78</v>
      </c>
      <c r="F17" s="4">
        <v>6806</v>
      </c>
      <c r="G17" s="4">
        <v>0.17799999999999999</v>
      </c>
      <c r="H17" s="4">
        <v>20</v>
      </c>
      <c r="I17" s="4">
        <v>93.1</v>
      </c>
      <c r="J17" s="4">
        <v>0.28000000000000003</v>
      </c>
      <c r="K17" s="4">
        <v>1</v>
      </c>
      <c r="L17" s="4">
        <v>4.3</v>
      </c>
      <c r="M17" s="4">
        <v>788087.68</v>
      </c>
      <c r="N17" s="4">
        <v>116803.42</v>
      </c>
      <c r="O17">
        <f>396109.2647+(1.143827975*E17)+(33.53435949*F17)</f>
        <v>704577.6770531605</v>
      </c>
      <c r="P17">
        <f>M17-O17</f>
        <v>83510.002946839551</v>
      </c>
    </row>
    <row r="18" spans="1:16">
      <c r="A18" s="4" t="s">
        <v>71</v>
      </c>
      <c r="B18" s="6">
        <v>45748</v>
      </c>
      <c r="C18" s="4" t="s">
        <v>20</v>
      </c>
      <c r="D18" s="4" t="s">
        <v>16</v>
      </c>
      <c r="E18" s="4">
        <v>61391.8</v>
      </c>
      <c r="F18" s="4">
        <v>5575</v>
      </c>
      <c r="G18" s="4">
        <v>0.189</v>
      </c>
      <c r="H18" s="4">
        <v>18</v>
      </c>
      <c r="I18" s="4">
        <v>90</v>
      </c>
      <c r="J18" s="4">
        <v>1.8</v>
      </c>
      <c r="K18" s="4">
        <v>0</v>
      </c>
      <c r="L18" s="4">
        <v>4.8</v>
      </c>
      <c r="M18" s="4">
        <v>735786.64</v>
      </c>
      <c r="N18" s="4">
        <v>126540.66</v>
      </c>
      <c r="O18">
        <f>396109.2647+(1.143827975*E18)+(33.53435949*F18)</f>
        <v>653284.97713235498</v>
      </c>
      <c r="P18">
        <f>M18-O18</f>
        <v>82501.662867645035</v>
      </c>
    </row>
    <row r="19" spans="1:16">
      <c r="A19" s="4" t="s">
        <v>66</v>
      </c>
      <c r="B19" s="6">
        <v>45748</v>
      </c>
      <c r="C19" s="4" t="s">
        <v>27</v>
      </c>
      <c r="D19" s="4" t="s">
        <v>21</v>
      </c>
      <c r="E19" s="4">
        <v>74881.56</v>
      </c>
      <c r="F19" s="4">
        <v>9999</v>
      </c>
      <c r="G19" s="4">
        <v>1.2999999999999999E-2</v>
      </c>
      <c r="H19" s="4">
        <v>20</v>
      </c>
      <c r="I19" s="4">
        <v>89.6</v>
      </c>
      <c r="J19" s="4">
        <v>8.44</v>
      </c>
      <c r="K19" s="4">
        <v>0</v>
      </c>
      <c r="L19" s="4">
        <v>4.0999999999999996</v>
      </c>
      <c r="M19" s="4">
        <v>898031.04</v>
      </c>
      <c r="N19" s="4">
        <v>138666.5</v>
      </c>
      <c r="O19">
        <f>396109.2647+(1.143827975*E19)+(33.53435949*F19)</f>
        <v>817070.94838015107</v>
      </c>
      <c r="P19">
        <f>M19-O19</f>
        <v>80960.091619848972</v>
      </c>
    </row>
    <row r="20" spans="1:16">
      <c r="A20" s="4" t="s">
        <v>80</v>
      </c>
      <c r="B20" s="6">
        <v>45689</v>
      </c>
      <c r="C20" s="4" t="s">
        <v>27</v>
      </c>
      <c r="D20" s="4" t="s">
        <v>16</v>
      </c>
      <c r="E20" s="4">
        <v>61650.79</v>
      </c>
      <c r="F20" s="4">
        <v>5321</v>
      </c>
      <c r="G20" s="4">
        <v>0.126</v>
      </c>
      <c r="H20" s="4">
        <v>17</v>
      </c>
      <c r="I20" s="4">
        <v>89.2</v>
      </c>
      <c r="J20" s="4">
        <v>2.13</v>
      </c>
      <c r="K20" s="4">
        <v>0</v>
      </c>
      <c r="L20" s="4">
        <v>4</v>
      </c>
      <c r="M20" s="4">
        <v>723305.11</v>
      </c>
      <c r="N20" s="4">
        <v>128468.7</v>
      </c>
      <c r="O20">
        <f>396109.2647+(1.143827975*E20)+(33.53435949*F20)</f>
        <v>645063.48982914025</v>
      </c>
      <c r="P20">
        <f>M20-O20</f>
        <v>78241.620170859736</v>
      </c>
    </row>
    <row r="21" spans="1:16">
      <c r="A21" s="4" t="s">
        <v>46</v>
      </c>
      <c r="B21" s="6">
        <v>45689</v>
      </c>
      <c r="C21" s="4" t="s">
        <v>27</v>
      </c>
      <c r="D21" s="4" t="s">
        <v>28</v>
      </c>
      <c r="E21" s="4">
        <v>78839.39</v>
      </c>
      <c r="F21" s="4">
        <v>5150</v>
      </c>
      <c r="G21" s="4">
        <v>0.17100000000000001</v>
      </c>
      <c r="H21" s="4">
        <v>13</v>
      </c>
      <c r="I21" s="4">
        <v>85.8</v>
      </c>
      <c r="J21" s="4">
        <v>7.57</v>
      </c>
      <c r="K21" s="4">
        <v>0</v>
      </c>
      <c r="L21" s="4">
        <v>4.3</v>
      </c>
      <c r="M21" s="4">
        <v>735509.4</v>
      </c>
      <c r="N21" s="4">
        <v>83895.96</v>
      </c>
      <c r="O21">
        <f>396109.2647+(1.143827975*E21)+(33.53435949*F21)</f>
        <v>658989.9158874352</v>
      </c>
      <c r="P21">
        <f>M21-O21</f>
        <v>76519.484112564824</v>
      </c>
    </row>
    <row r="22" spans="1:16">
      <c r="A22" s="4" t="s">
        <v>45</v>
      </c>
      <c r="B22" s="6">
        <v>45717</v>
      </c>
      <c r="C22" s="4" t="s">
        <v>27</v>
      </c>
      <c r="D22" s="4" t="s">
        <v>16</v>
      </c>
      <c r="E22" s="4">
        <v>86421.88</v>
      </c>
      <c r="F22" s="4">
        <v>7970</v>
      </c>
      <c r="G22" s="4">
        <v>7.2999999999999995E-2</v>
      </c>
      <c r="H22" s="4">
        <v>17</v>
      </c>
      <c r="I22" s="4">
        <v>91.3</v>
      </c>
      <c r="J22" s="4">
        <v>0.8</v>
      </c>
      <c r="K22" s="4">
        <v>0</v>
      </c>
      <c r="L22" s="4">
        <v>5</v>
      </c>
      <c r="M22" s="4">
        <v>838250.32</v>
      </c>
      <c r="N22" s="4">
        <v>122939.34</v>
      </c>
      <c r="O22">
        <f>396109.2647+(1.143827975*E22)+(33.53435949*F22)</f>
        <v>762229.87383139296</v>
      </c>
      <c r="P22">
        <f>M22-O22</f>
        <v>76020.446168606984</v>
      </c>
    </row>
    <row r="23" spans="1:16">
      <c r="A23" s="4" t="s">
        <v>51</v>
      </c>
      <c r="B23" s="6">
        <v>45689</v>
      </c>
      <c r="C23" s="4" t="s">
        <v>27</v>
      </c>
      <c r="D23" s="4" t="s">
        <v>16</v>
      </c>
      <c r="E23" s="4">
        <v>57360.01</v>
      </c>
      <c r="F23" s="4">
        <v>8434</v>
      </c>
      <c r="G23" s="4">
        <v>0.151</v>
      </c>
      <c r="H23" s="4">
        <v>19</v>
      </c>
      <c r="I23" s="4">
        <v>84.1</v>
      </c>
      <c r="J23" s="4">
        <v>1.56</v>
      </c>
      <c r="K23" s="4">
        <v>0</v>
      </c>
      <c r="L23" s="4">
        <v>4.7</v>
      </c>
      <c r="M23" s="4">
        <v>820519.04</v>
      </c>
      <c r="N23" s="4">
        <v>99035.88</v>
      </c>
      <c r="O23">
        <f>396109.2647+(1.143827975*E23)+(33.53435949*F23)</f>
        <v>744548.03672293969</v>
      </c>
      <c r="P23">
        <f>M23-O23</f>
        <v>75971.003277060343</v>
      </c>
    </row>
    <row r="24" spans="1:16">
      <c r="A24" s="4" t="s">
        <v>94</v>
      </c>
      <c r="B24" s="6">
        <v>45717</v>
      </c>
      <c r="C24" s="4" t="s">
        <v>15</v>
      </c>
      <c r="D24" s="4" t="s">
        <v>16</v>
      </c>
      <c r="E24" s="4">
        <v>56737.3</v>
      </c>
      <c r="F24" s="4">
        <v>8300</v>
      </c>
      <c r="G24" s="4">
        <v>3.2000000000000001E-2</v>
      </c>
      <c r="H24" s="4">
        <v>21</v>
      </c>
      <c r="I24" s="4">
        <v>83.2</v>
      </c>
      <c r="J24" s="4">
        <v>3.44</v>
      </c>
      <c r="K24" s="4">
        <v>1</v>
      </c>
      <c r="L24" s="4">
        <v>4.3</v>
      </c>
      <c r="M24" s="4">
        <v>813316.71</v>
      </c>
      <c r="N24" s="4">
        <v>110077.42</v>
      </c>
      <c r="O24">
        <f>396109.2647+(1.143827975*E24)+(33.53435949*F24)</f>
        <v>739342.15943296743</v>
      </c>
      <c r="P24">
        <f>M24-O24</f>
        <v>73974.550567032536</v>
      </c>
    </row>
    <row r="25" spans="1:16">
      <c r="A25" s="4" t="s">
        <v>97</v>
      </c>
      <c r="B25" s="6">
        <v>45748</v>
      </c>
      <c r="C25" s="4" t="s">
        <v>20</v>
      </c>
      <c r="D25" s="4" t="s">
        <v>28</v>
      </c>
      <c r="E25" s="4">
        <v>31997.25</v>
      </c>
      <c r="F25" s="4">
        <v>8183</v>
      </c>
      <c r="G25" s="4">
        <v>0.19800000000000001</v>
      </c>
      <c r="H25" s="4">
        <v>18</v>
      </c>
      <c r="I25" s="4">
        <v>93</v>
      </c>
      <c r="J25" s="4">
        <v>2.79</v>
      </c>
      <c r="K25" s="4">
        <v>0</v>
      </c>
      <c r="L25" s="4">
        <v>4.2</v>
      </c>
      <c r="M25" s="4">
        <v>780580.95</v>
      </c>
      <c r="N25" s="4">
        <v>138144.46</v>
      </c>
      <c r="O25">
        <f>396109.2647+(1.143827975*E25)+(33.53435949*F25)</f>
        <v>707120.27807973872</v>
      </c>
      <c r="P25">
        <f>M25-O25</f>
        <v>73460.671920261229</v>
      </c>
    </row>
    <row r="26" spans="1:16">
      <c r="A26" s="4" t="s">
        <v>86</v>
      </c>
      <c r="B26" s="6">
        <v>45748</v>
      </c>
      <c r="C26" s="4" t="s">
        <v>24</v>
      </c>
      <c r="D26" s="4" t="s">
        <v>28</v>
      </c>
      <c r="E26" s="4">
        <v>38397.82</v>
      </c>
      <c r="F26" s="4">
        <v>7836</v>
      </c>
      <c r="G26" s="4">
        <v>7.0000000000000001E-3</v>
      </c>
      <c r="H26" s="4">
        <v>21</v>
      </c>
      <c r="I26" s="4">
        <v>92.2</v>
      </c>
      <c r="J26" s="4">
        <v>1.82</v>
      </c>
      <c r="K26" s="4">
        <v>0</v>
      </c>
      <c r="L26" s="4">
        <v>3.6</v>
      </c>
      <c r="M26" s="4">
        <v>776110.32</v>
      </c>
      <c r="N26" s="4">
        <v>139676.21</v>
      </c>
      <c r="O26">
        <f>396109.2647+(1.143827975*E26)+(33.53435949*F26)</f>
        <v>702805.00635865447</v>
      </c>
      <c r="P26">
        <f>M26-O26</f>
        <v>73305.313641345478</v>
      </c>
    </row>
    <row r="27" spans="1:16">
      <c r="A27" s="4" t="s">
        <v>73</v>
      </c>
      <c r="B27" s="6">
        <v>45689</v>
      </c>
      <c r="C27" s="4" t="s">
        <v>15</v>
      </c>
      <c r="D27" s="4" t="s">
        <v>28</v>
      </c>
      <c r="E27" s="4">
        <v>54300.87</v>
      </c>
      <c r="F27" s="4">
        <v>7875</v>
      </c>
      <c r="G27" s="4">
        <v>0.107</v>
      </c>
      <c r="H27" s="4">
        <v>19</v>
      </c>
      <c r="I27" s="4">
        <v>94.1</v>
      </c>
      <c r="J27" s="4">
        <v>0.95</v>
      </c>
      <c r="K27" s="4">
        <v>0</v>
      </c>
      <c r="L27" s="4">
        <v>3.7</v>
      </c>
      <c r="M27" s="4">
        <v>795464.47</v>
      </c>
      <c r="N27" s="4">
        <v>161150.51999999999</v>
      </c>
      <c r="O27">
        <f>396109.2647+(1.143827975*E27)+(33.53435949*F27)</f>
        <v>722303.19985658827</v>
      </c>
      <c r="P27">
        <f>M27-O27</f>
        <v>73161.270143411704</v>
      </c>
    </row>
    <row r="28" spans="1:16">
      <c r="A28" s="4" t="s">
        <v>32</v>
      </c>
      <c r="B28" s="6">
        <v>45717</v>
      </c>
      <c r="C28" s="4" t="s">
        <v>15</v>
      </c>
      <c r="D28" s="4" t="s">
        <v>28</v>
      </c>
      <c r="E28" s="4">
        <v>68077.539999999994</v>
      </c>
      <c r="F28" s="4">
        <v>3360</v>
      </c>
      <c r="G28" s="4">
        <v>0.128</v>
      </c>
      <c r="H28" s="4">
        <v>14</v>
      </c>
      <c r="I28" s="4">
        <v>88.2</v>
      </c>
      <c r="J28" s="4">
        <v>1.24</v>
      </c>
      <c r="K28" s="4">
        <v>1</v>
      </c>
      <c r="L28" s="4">
        <v>4</v>
      </c>
      <c r="M28" s="4">
        <v>657429.18000000005</v>
      </c>
      <c r="N28" s="4">
        <v>88919.74</v>
      </c>
      <c r="O28">
        <f>396109.2647+(1.143827975*E28)+(33.53435949*F28)</f>
        <v>586653.70730758156</v>
      </c>
      <c r="P28">
        <f>M28-O28</f>
        <v>70775.472692418494</v>
      </c>
    </row>
    <row r="29" spans="1:16">
      <c r="A29" s="4" t="s">
        <v>61</v>
      </c>
      <c r="B29" s="6">
        <v>45748</v>
      </c>
      <c r="C29" s="4" t="s">
        <v>20</v>
      </c>
      <c r="D29" s="4" t="s">
        <v>28</v>
      </c>
      <c r="E29" s="4">
        <v>23254.57</v>
      </c>
      <c r="F29" s="4">
        <v>3847</v>
      </c>
      <c r="G29" s="4">
        <v>0.159</v>
      </c>
      <c r="H29" s="4">
        <v>12</v>
      </c>
      <c r="I29" s="4">
        <v>93</v>
      </c>
      <c r="J29" s="4">
        <v>5.46</v>
      </c>
      <c r="K29" s="4">
        <v>0</v>
      </c>
      <c r="L29" s="4">
        <v>3.3</v>
      </c>
      <c r="M29" s="4">
        <v>620973.03</v>
      </c>
      <c r="N29" s="4">
        <v>72303.850000000006</v>
      </c>
      <c r="O29">
        <f>396109.2647+(1.143827975*E29)+(33.53435949*F29)</f>
        <v>551715.17337062582</v>
      </c>
      <c r="P29">
        <f>M29-O29</f>
        <v>69257.856629374204</v>
      </c>
    </row>
    <row r="30" spans="1:16">
      <c r="A30" s="4" t="s">
        <v>42</v>
      </c>
      <c r="B30" s="6">
        <v>45689</v>
      </c>
      <c r="C30" s="4" t="s">
        <v>27</v>
      </c>
      <c r="D30" s="4" t="s">
        <v>28</v>
      </c>
      <c r="E30" s="4">
        <v>60628.38</v>
      </c>
      <c r="F30" s="4">
        <v>4451</v>
      </c>
      <c r="G30" s="4">
        <v>9.5000000000000001E-2</v>
      </c>
      <c r="H30" s="4">
        <v>10</v>
      </c>
      <c r="I30" s="4">
        <v>89.6</v>
      </c>
      <c r="J30" s="4">
        <v>3.17</v>
      </c>
      <c r="K30" s="4">
        <v>0</v>
      </c>
      <c r="L30" s="4">
        <v>4.5999999999999996</v>
      </c>
      <c r="M30" s="4">
        <v>682208.01</v>
      </c>
      <c r="N30" s="4">
        <v>110318.84</v>
      </c>
      <c r="O30">
        <f>396109.2647+(1.143827975*E30)+(33.53435949*F30)</f>
        <v>614719.13591292046</v>
      </c>
      <c r="P30">
        <f>M30-O30</f>
        <v>67488.874087079545</v>
      </c>
    </row>
    <row r="31" spans="1:16">
      <c r="A31" s="4" t="s">
        <v>50</v>
      </c>
      <c r="B31" s="6">
        <v>45689</v>
      </c>
      <c r="C31" s="4" t="s">
        <v>27</v>
      </c>
      <c r="D31" s="4" t="s">
        <v>28</v>
      </c>
      <c r="E31" s="4">
        <v>80176.34</v>
      </c>
      <c r="F31" s="4">
        <v>9489</v>
      </c>
      <c r="G31" s="4">
        <v>0.14199999999999999</v>
      </c>
      <c r="H31" s="4">
        <v>22</v>
      </c>
      <c r="I31" s="4">
        <v>94.3</v>
      </c>
      <c r="J31" s="4">
        <v>2.67</v>
      </c>
      <c r="K31" s="4">
        <v>0</v>
      </c>
      <c r="L31" s="4">
        <v>3.5</v>
      </c>
      <c r="M31" s="4">
        <v>873380.02</v>
      </c>
      <c r="N31" s="4">
        <v>149734.76</v>
      </c>
      <c r="O31">
        <f>396109.2647+(1.143827975*E31)+(33.53435949*F31)</f>
        <v>806024.74252572143</v>
      </c>
      <c r="P31">
        <f>M31-O31</f>
        <v>67355.277474278584</v>
      </c>
    </row>
    <row r="32" spans="1:16">
      <c r="A32" s="4" t="s">
        <v>80</v>
      </c>
      <c r="B32" s="6">
        <v>45658</v>
      </c>
      <c r="C32" s="4" t="s">
        <v>27</v>
      </c>
      <c r="D32" s="4" t="s">
        <v>16</v>
      </c>
      <c r="E32" s="4">
        <v>47241.919999999998</v>
      </c>
      <c r="F32" s="4">
        <v>4264</v>
      </c>
      <c r="G32" s="4">
        <v>6.9000000000000006E-2</v>
      </c>
      <c r="H32" s="4">
        <v>13</v>
      </c>
      <c r="I32" s="4">
        <v>95.3</v>
      </c>
      <c r="J32" s="4">
        <v>0.85</v>
      </c>
      <c r="K32" s="4">
        <v>0</v>
      </c>
      <c r="L32" s="4">
        <v>4.3</v>
      </c>
      <c r="M32" s="4">
        <v>658072.14</v>
      </c>
      <c r="N32" s="4">
        <v>110595.89</v>
      </c>
      <c r="O32">
        <f>396109.2647+(1.143827975*E32)+(33.53435949*F32)</f>
        <v>593136.40325407195</v>
      </c>
      <c r="P32">
        <f>M32-O32</f>
        <v>64935.736745928065</v>
      </c>
    </row>
    <row r="33" spans="1:16">
      <c r="A33" s="4" t="s">
        <v>39</v>
      </c>
      <c r="B33" s="6">
        <v>45658</v>
      </c>
      <c r="C33" s="4" t="s">
        <v>15</v>
      </c>
      <c r="D33" s="4" t="s">
        <v>18</v>
      </c>
      <c r="E33" s="4">
        <v>70937.240000000005</v>
      </c>
      <c r="F33" s="4">
        <v>3595</v>
      </c>
      <c r="G33" s="4">
        <v>0.14099999999999999</v>
      </c>
      <c r="H33" s="4">
        <v>11</v>
      </c>
      <c r="I33" s="4">
        <v>88.9</v>
      </c>
      <c r="J33" s="4">
        <v>2.83</v>
      </c>
      <c r="K33" s="4">
        <v>1</v>
      </c>
      <c r="L33" s="4">
        <v>3.3</v>
      </c>
      <c r="M33" s="4">
        <v>661927.14</v>
      </c>
      <c r="N33" s="4">
        <v>79218.570000000007</v>
      </c>
      <c r="O33">
        <f>396109.2647+(1.143827975*E33)+(33.53435949*F33)</f>
        <v>597805.28664783901</v>
      </c>
      <c r="P33">
        <f>M33-O33</f>
        <v>64121.853352161008</v>
      </c>
    </row>
    <row r="34" spans="1:16">
      <c r="A34" s="4" t="s">
        <v>56</v>
      </c>
      <c r="B34" s="6">
        <v>45717</v>
      </c>
      <c r="C34" s="4" t="s">
        <v>24</v>
      </c>
      <c r="D34" s="4" t="s">
        <v>16</v>
      </c>
      <c r="E34" s="4">
        <v>69779</v>
      </c>
      <c r="F34" s="4">
        <v>6544</v>
      </c>
      <c r="G34" s="4">
        <v>0.152</v>
      </c>
      <c r="H34" s="4">
        <v>18</v>
      </c>
      <c r="I34" s="4">
        <v>90.2</v>
      </c>
      <c r="J34" s="4">
        <v>0.85</v>
      </c>
      <c r="K34" s="4">
        <v>1</v>
      </c>
      <c r="L34" s="4">
        <v>3.3</v>
      </c>
      <c r="M34" s="4">
        <v>758827.64</v>
      </c>
      <c r="N34" s="4">
        <v>161439.48000000001</v>
      </c>
      <c r="O34">
        <f>396109.2647+(1.143827975*E34)+(33.53435949*F34)</f>
        <v>695373.28547008499</v>
      </c>
      <c r="P34">
        <f>M34-O34</f>
        <v>63454.354529915028</v>
      </c>
    </row>
    <row r="35" spans="1:16">
      <c r="A35" s="4" t="s">
        <v>45</v>
      </c>
      <c r="B35" s="6">
        <v>45689</v>
      </c>
      <c r="C35" s="4" t="s">
        <v>27</v>
      </c>
      <c r="D35" s="4" t="s">
        <v>16</v>
      </c>
      <c r="E35" s="4">
        <v>67439.3</v>
      </c>
      <c r="F35" s="4">
        <v>6477</v>
      </c>
      <c r="G35" s="4">
        <v>0</v>
      </c>
      <c r="H35" s="4">
        <v>16</v>
      </c>
      <c r="I35" s="4">
        <v>90.9</v>
      </c>
      <c r="J35" s="4">
        <v>1.64</v>
      </c>
      <c r="K35" s="4">
        <v>0</v>
      </c>
      <c r="L35" s="4">
        <v>4.5</v>
      </c>
      <c r="M35" s="4">
        <v>753473.55</v>
      </c>
      <c r="N35" s="4">
        <v>151527.22</v>
      </c>
      <c r="O35">
        <f>396109.2647+(1.143827975*E35)+(33.53435949*F35)</f>
        <v>690450.26907114754</v>
      </c>
      <c r="P35">
        <f>M35-O35</f>
        <v>63023.280928852502</v>
      </c>
    </row>
    <row r="36" spans="1:16">
      <c r="A36" s="4" t="s">
        <v>34</v>
      </c>
      <c r="B36" s="6">
        <v>45748</v>
      </c>
      <c r="C36" s="4" t="s">
        <v>20</v>
      </c>
      <c r="D36" s="4" t="s">
        <v>28</v>
      </c>
      <c r="E36" s="4">
        <v>65312.49</v>
      </c>
      <c r="F36" s="4">
        <v>7189</v>
      </c>
      <c r="G36" s="4">
        <v>0.05</v>
      </c>
      <c r="H36" s="4">
        <v>19</v>
      </c>
      <c r="I36" s="4">
        <v>93.7</v>
      </c>
      <c r="J36" s="4">
        <v>7.16</v>
      </c>
      <c r="K36" s="4">
        <v>0</v>
      </c>
      <c r="L36" s="4">
        <v>4.5999999999999996</v>
      </c>
      <c r="M36" s="4">
        <v>773815.14</v>
      </c>
      <c r="N36" s="4">
        <v>133948.39000000001</v>
      </c>
      <c r="O36">
        <f>396109.2647+(1.143827975*E36)+(33.53435949*F36)</f>
        <v>711894.0282525178</v>
      </c>
      <c r="P36">
        <f>M36-O36</f>
        <v>61921.111747482209</v>
      </c>
    </row>
    <row r="37" spans="1:16">
      <c r="A37" s="4" t="s">
        <v>59</v>
      </c>
      <c r="B37" s="6">
        <v>45717</v>
      </c>
      <c r="C37" s="4" t="s">
        <v>24</v>
      </c>
      <c r="D37" s="4" t="s">
        <v>28</v>
      </c>
      <c r="E37" s="4">
        <v>47093.55</v>
      </c>
      <c r="F37" s="4">
        <v>5550</v>
      </c>
      <c r="G37" s="4">
        <v>0.1</v>
      </c>
      <c r="H37" s="4">
        <v>12</v>
      </c>
      <c r="I37" s="4">
        <v>95</v>
      </c>
      <c r="J37" s="4">
        <v>2.33</v>
      </c>
      <c r="K37" s="4">
        <v>1</v>
      </c>
      <c r="L37" s="4">
        <v>3.7</v>
      </c>
      <c r="M37" s="4">
        <v>696744.15</v>
      </c>
      <c r="N37" s="4">
        <v>152230.09</v>
      </c>
      <c r="O37">
        <f>396109.2647+(1.143827975*E37)+(33.53435949*F37)</f>
        <v>636091.87980156124</v>
      </c>
      <c r="P37">
        <f>M37-O37</f>
        <v>60652.270198438782</v>
      </c>
    </row>
    <row r="38" spans="1:16">
      <c r="A38" s="4" t="s">
        <v>53</v>
      </c>
      <c r="B38" s="6">
        <v>45717</v>
      </c>
      <c r="C38" s="4" t="s">
        <v>24</v>
      </c>
      <c r="D38" s="4" t="s">
        <v>18</v>
      </c>
      <c r="E38" s="4">
        <v>56517.9</v>
      </c>
      <c r="F38" s="4">
        <v>9574</v>
      </c>
      <c r="G38" s="4">
        <v>0.20399999999999999</v>
      </c>
      <c r="H38" s="4">
        <v>20</v>
      </c>
      <c r="I38" s="4">
        <v>88.2</v>
      </c>
      <c r="J38" s="4">
        <v>5.37</v>
      </c>
      <c r="K38" s="4">
        <v>1</v>
      </c>
      <c r="L38" s="4">
        <v>4.9000000000000004</v>
      </c>
      <c r="M38" s="4">
        <v>842157.92</v>
      </c>
      <c r="N38" s="4">
        <v>107348.22</v>
      </c>
      <c r="O38">
        <f>396109.2647+(1.143827975*E38)+(33.53435949*F38)</f>
        <v>781813.97756551253</v>
      </c>
      <c r="P38">
        <f>M38-O38</f>
        <v>60343.942434487515</v>
      </c>
    </row>
    <row r="39" spans="1:16">
      <c r="A39" s="4" t="s">
        <v>19</v>
      </c>
      <c r="B39" s="6">
        <v>45748</v>
      </c>
      <c r="C39" s="4" t="s">
        <v>20</v>
      </c>
      <c r="D39" s="4" t="s">
        <v>21</v>
      </c>
      <c r="E39" s="4">
        <v>67979.88</v>
      </c>
      <c r="F39" s="4">
        <v>11230</v>
      </c>
      <c r="G39" s="4">
        <v>2E-3</v>
      </c>
      <c r="H39" s="4">
        <v>28</v>
      </c>
      <c r="I39" s="4">
        <v>85.3</v>
      </c>
      <c r="J39" s="4">
        <v>7.16</v>
      </c>
      <c r="K39" s="4">
        <v>0</v>
      </c>
      <c r="L39" s="4">
        <v>3.8</v>
      </c>
      <c r="M39" s="4">
        <v>910791.94</v>
      </c>
      <c r="N39" s="4">
        <v>158891.28</v>
      </c>
      <c r="O39">
        <f>396109.2647+(1.143827975*E39)+(33.53435949*F39)</f>
        <v>850457.41025384306</v>
      </c>
      <c r="P39">
        <f>M39-O39</f>
        <v>60334.529746156884</v>
      </c>
    </row>
    <row r="40" spans="1:16">
      <c r="A40" s="4" t="s">
        <v>76</v>
      </c>
      <c r="B40" s="6">
        <v>45717</v>
      </c>
      <c r="C40" s="4" t="s">
        <v>20</v>
      </c>
      <c r="D40" s="4" t="s">
        <v>21</v>
      </c>
      <c r="E40" s="4">
        <v>58785.33</v>
      </c>
      <c r="F40" s="4">
        <v>4467</v>
      </c>
      <c r="G40" s="4">
        <v>0.22900000000000001</v>
      </c>
      <c r="H40" s="4">
        <v>14</v>
      </c>
      <c r="I40" s="4">
        <v>90.7</v>
      </c>
      <c r="J40" s="4">
        <v>1.92</v>
      </c>
      <c r="K40" s="4">
        <v>0</v>
      </c>
      <c r="L40" s="4">
        <v>3.7</v>
      </c>
      <c r="M40" s="4">
        <v>673348.56</v>
      </c>
      <c r="N40" s="4">
        <v>69464.59</v>
      </c>
      <c r="O40">
        <f>396109.2647+(1.143827975*E40)+(33.53435949*F40)</f>
        <v>613147.55351543683</v>
      </c>
      <c r="P40">
        <f>M40-O40</f>
        <v>60201.00648456323</v>
      </c>
    </row>
    <row r="41" spans="1:16">
      <c r="A41" s="4" t="s">
        <v>87</v>
      </c>
      <c r="B41" s="6">
        <v>45717</v>
      </c>
      <c r="C41" s="4" t="s">
        <v>27</v>
      </c>
      <c r="D41" s="4" t="s">
        <v>18</v>
      </c>
      <c r="E41" s="4">
        <v>51450.55</v>
      </c>
      <c r="F41" s="4">
        <v>4902</v>
      </c>
      <c r="G41" s="4">
        <v>8.5999999999999993E-2</v>
      </c>
      <c r="H41" s="4">
        <v>11</v>
      </c>
      <c r="I41" s="4">
        <v>83.7</v>
      </c>
      <c r="J41" s="4">
        <v>6.92</v>
      </c>
      <c r="K41" s="4">
        <v>1</v>
      </c>
      <c r="L41" s="4">
        <v>4.2</v>
      </c>
      <c r="M41" s="4">
        <v>677640.65</v>
      </c>
      <c r="N41" s="4">
        <v>111610.89</v>
      </c>
      <c r="O41">
        <f>396109.2647+(1.143827975*E41)+(33.53435949*F41)</f>
        <v>619345.27333911625</v>
      </c>
      <c r="P41">
        <f>M41-O41</f>
        <v>58295.376660883776</v>
      </c>
    </row>
    <row r="42" spans="1:16">
      <c r="A42" s="4" t="s">
        <v>37</v>
      </c>
      <c r="B42" s="6">
        <v>45748</v>
      </c>
      <c r="C42" s="4" t="s">
        <v>24</v>
      </c>
      <c r="D42" s="4" t="s">
        <v>18</v>
      </c>
      <c r="E42" s="4">
        <v>74954.47</v>
      </c>
      <c r="F42" s="4">
        <v>6620</v>
      </c>
      <c r="G42" s="4">
        <v>5.3999999999999999E-2</v>
      </c>
      <c r="H42" s="4">
        <v>17</v>
      </c>
      <c r="I42" s="4">
        <v>91.1</v>
      </c>
      <c r="J42" s="4">
        <v>1.1100000000000001</v>
      </c>
      <c r="K42" s="4">
        <v>0</v>
      </c>
      <c r="L42" s="4">
        <v>3.5</v>
      </c>
      <c r="M42" s="4">
        <v>761860.19</v>
      </c>
      <c r="N42" s="4">
        <v>133279.38</v>
      </c>
      <c r="O42">
        <f>396109.2647+(1.143827975*E42)+(33.53435949*F42)</f>
        <v>703841.74416109826</v>
      </c>
      <c r="P42">
        <f>M42-O42</f>
        <v>58018.44583890168</v>
      </c>
    </row>
    <row r="43" spans="1:16">
      <c r="A43" s="4" t="s">
        <v>47</v>
      </c>
      <c r="B43" s="6">
        <v>45658</v>
      </c>
      <c r="C43" s="4" t="s">
        <v>15</v>
      </c>
      <c r="D43" s="4" t="s">
        <v>28</v>
      </c>
      <c r="E43" s="4">
        <v>53084.76</v>
      </c>
      <c r="F43" s="4">
        <v>3642</v>
      </c>
      <c r="G43" s="4">
        <v>0.15</v>
      </c>
      <c r="H43" s="4">
        <v>12</v>
      </c>
      <c r="I43" s="4">
        <v>91.4</v>
      </c>
      <c r="J43" s="4">
        <v>0.2</v>
      </c>
      <c r="K43" s="4">
        <v>0</v>
      </c>
      <c r="L43" s="4">
        <v>4.4000000000000004</v>
      </c>
      <c r="M43" s="4">
        <v>635181.35</v>
      </c>
      <c r="N43" s="4">
        <v>83341.25</v>
      </c>
      <c r="O43">
        <f>396109.2647+(1.143827975*E43)+(33.53435949*F43)</f>
        <v>578961.23549674102</v>
      </c>
      <c r="P43">
        <f>M43-O43</f>
        <v>56220.114503258956</v>
      </c>
    </row>
    <row r="44" spans="1:16">
      <c r="A44" s="4" t="s">
        <v>56</v>
      </c>
      <c r="B44" s="6">
        <v>45689</v>
      </c>
      <c r="C44" s="4" t="s">
        <v>24</v>
      </c>
      <c r="D44" s="4" t="s">
        <v>16</v>
      </c>
      <c r="E44" s="4">
        <v>75109.67</v>
      </c>
      <c r="F44" s="4">
        <v>6244</v>
      </c>
      <c r="G44" s="4">
        <v>7.9000000000000001E-2</v>
      </c>
      <c r="H44" s="4">
        <v>15</v>
      </c>
      <c r="I44" s="4">
        <v>96.3</v>
      </c>
      <c r="J44" s="4">
        <v>7.38</v>
      </c>
      <c r="K44" s="4">
        <v>0</v>
      </c>
      <c r="L44" s="4">
        <v>3.7</v>
      </c>
      <c r="M44" s="4">
        <v>743348.84</v>
      </c>
      <c r="N44" s="4">
        <v>104186.09</v>
      </c>
      <c r="O44">
        <f>396109.2647+(1.143827975*E44)+(33.53435949*F44)</f>
        <v>691410.3470945782</v>
      </c>
      <c r="P44">
        <f>M44-O44</f>
        <v>51938.492905421765</v>
      </c>
    </row>
    <row r="45" spans="1:16">
      <c r="A45" s="4" t="s">
        <v>98</v>
      </c>
      <c r="B45" s="6">
        <v>45658</v>
      </c>
      <c r="C45" s="4" t="s">
        <v>24</v>
      </c>
      <c r="D45" s="4" t="s">
        <v>16</v>
      </c>
      <c r="E45" s="4">
        <v>54948.02</v>
      </c>
      <c r="F45" s="4">
        <v>6534</v>
      </c>
      <c r="G45" s="4">
        <v>0.183</v>
      </c>
      <c r="H45" s="4">
        <v>14</v>
      </c>
      <c r="I45" s="4">
        <v>94.5</v>
      </c>
      <c r="J45" s="4">
        <v>1.56</v>
      </c>
      <c r="K45" s="4">
        <v>0</v>
      </c>
      <c r="L45" s="4">
        <v>4</v>
      </c>
      <c r="M45" s="4">
        <v>727957.48</v>
      </c>
      <c r="N45" s="4">
        <v>74805.23</v>
      </c>
      <c r="O45">
        <f>396109.2647+(1.143827975*E45)+(33.53435949*F45)</f>
        <v>678073.85205451958</v>
      </c>
      <c r="P45">
        <f>M45-O45</f>
        <v>49883.627945480403</v>
      </c>
    </row>
    <row r="46" spans="1:16">
      <c r="A46" s="4" t="s">
        <v>92</v>
      </c>
      <c r="B46" s="6">
        <v>45717</v>
      </c>
      <c r="C46" s="4" t="s">
        <v>24</v>
      </c>
      <c r="D46" s="4" t="s">
        <v>18</v>
      </c>
      <c r="E46" s="4">
        <v>66104.19</v>
      </c>
      <c r="F46" s="4">
        <v>5745</v>
      </c>
      <c r="G46" s="4">
        <v>7.0000000000000007E-2</v>
      </c>
      <c r="H46" s="4">
        <v>17</v>
      </c>
      <c r="I46" s="4">
        <v>95.8</v>
      </c>
      <c r="J46" s="4">
        <v>3.15</v>
      </c>
      <c r="K46" s="4">
        <v>0</v>
      </c>
      <c r="L46" s="4">
        <v>4</v>
      </c>
      <c r="M46" s="4">
        <v>714083.68</v>
      </c>
      <c r="N46" s="4">
        <v>127231.74</v>
      </c>
      <c r="O46">
        <f>396109.2647+(1.143827975*E46)+(33.53435949*F46)</f>
        <v>664375.98175676528</v>
      </c>
      <c r="P46">
        <f>M46-O46</f>
        <v>49707.698243234772</v>
      </c>
    </row>
    <row r="47" spans="1:16">
      <c r="A47" s="4" t="s">
        <v>59</v>
      </c>
      <c r="B47" s="6">
        <v>45748</v>
      </c>
      <c r="C47" s="4" t="s">
        <v>24</v>
      </c>
      <c r="D47" s="4" t="s">
        <v>28</v>
      </c>
      <c r="E47" s="4">
        <v>71855.09</v>
      </c>
      <c r="F47" s="4">
        <v>5911</v>
      </c>
      <c r="G47" s="4">
        <v>0.19700000000000001</v>
      </c>
      <c r="H47" s="4">
        <v>15</v>
      </c>
      <c r="I47" s="4">
        <v>94.3</v>
      </c>
      <c r="J47" s="4">
        <v>3.55</v>
      </c>
      <c r="K47" s="4">
        <v>0</v>
      </c>
      <c r="L47" s="4">
        <v>4.0999999999999996</v>
      </c>
      <c r="M47" s="4">
        <v>725847.99</v>
      </c>
      <c r="N47" s="4">
        <v>122698.73</v>
      </c>
      <c r="O47">
        <f>396109.2647+(1.143827975*E47)+(33.53435949*F47)</f>
        <v>676520.72573353269</v>
      </c>
      <c r="P47">
        <f>M47-O47</f>
        <v>49327.264266467304</v>
      </c>
    </row>
    <row r="48" spans="1:16">
      <c r="A48" s="4" t="s">
        <v>90</v>
      </c>
      <c r="B48" s="6">
        <v>45748</v>
      </c>
      <c r="C48" s="4" t="s">
        <v>27</v>
      </c>
      <c r="D48" s="4" t="s">
        <v>18</v>
      </c>
      <c r="E48" s="4">
        <v>38297.58</v>
      </c>
      <c r="F48" s="4">
        <v>5893</v>
      </c>
      <c r="G48" s="4">
        <v>0.247</v>
      </c>
      <c r="H48" s="4">
        <v>18</v>
      </c>
      <c r="I48" s="4">
        <v>77.599999999999994</v>
      </c>
      <c r="J48" s="4">
        <v>2.86</v>
      </c>
      <c r="K48" s="4">
        <v>0</v>
      </c>
      <c r="L48" s="4">
        <v>3</v>
      </c>
      <c r="M48" s="4">
        <v>686737.87</v>
      </c>
      <c r="N48" s="4">
        <v>83839.67</v>
      </c>
      <c r="O48">
        <f>396109.2647+(1.143827975*E48)+(33.53435949*F48)</f>
        <v>637533.08855337044</v>
      </c>
      <c r="P48">
        <f>M48-O48</f>
        <v>49204.781446629553</v>
      </c>
    </row>
    <row r="49" spans="1:16">
      <c r="A49" s="4" t="s">
        <v>44</v>
      </c>
      <c r="B49" s="6">
        <v>45717</v>
      </c>
      <c r="C49" s="4" t="s">
        <v>24</v>
      </c>
      <c r="D49" s="4" t="s">
        <v>28</v>
      </c>
      <c r="E49" s="4">
        <v>82116.19</v>
      </c>
      <c r="F49" s="4">
        <v>5988</v>
      </c>
      <c r="G49" s="4">
        <v>0.04</v>
      </c>
      <c r="H49" s="4">
        <v>17</v>
      </c>
      <c r="I49" s="4">
        <v>91.8</v>
      </c>
      <c r="J49" s="4">
        <v>5.75</v>
      </c>
      <c r="K49" s="4">
        <v>0</v>
      </c>
      <c r="L49" s="4">
        <v>4.7</v>
      </c>
      <c r="M49" s="4">
        <v>739852.58</v>
      </c>
      <c r="N49" s="4">
        <v>129386.43</v>
      </c>
      <c r="O49">
        <f>396109.2647+(1.143827975*E49)+(33.53435949*F49)</f>
        <v>690839.80464853521</v>
      </c>
      <c r="P49">
        <f>M49-O49</f>
        <v>49012.775351464748</v>
      </c>
    </row>
    <row r="50" spans="1:16">
      <c r="A50" s="4" t="s">
        <v>85</v>
      </c>
      <c r="B50" s="6">
        <v>45717</v>
      </c>
      <c r="C50" s="4" t="s">
        <v>24</v>
      </c>
      <c r="D50" s="4" t="s">
        <v>21</v>
      </c>
      <c r="E50" s="4">
        <v>75412.740000000005</v>
      </c>
      <c r="F50" s="4">
        <v>5641</v>
      </c>
      <c r="G50" s="4">
        <v>5.8999999999999997E-2</v>
      </c>
      <c r="H50" s="4">
        <v>13</v>
      </c>
      <c r="I50" s="4">
        <v>87.9</v>
      </c>
      <c r="J50" s="4">
        <v>0.84</v>
      </c>
      <c r="K50" s="4">
        <v>0</v>
      </c>
      <c r="L50" s="4">
        <v>3.6</v>
      </c>
      <c r="M50" s="4">
        <v>720079.54</v>
      </c>
      <c r="N50" s="4">
        <v>119499.47</v>
      </c>
      <c r="O50">
        <f>396109.2647+(1.143827975*E50)+(33.53435949*F50)</f>
        <v>671535.78826649149</v>
      </c>
      <c r="P50">
        <f>M50-O50</f>
        <v>48543.751733508543</v>
      </c>
    </row>
    <row r="51" spans="1:16">
      <c r="A51" s="4" t="s">
        <v>85</v>
      </c>
      <c r="B51" s="6">
        <v>45658</v>
      </c>
      <c r="C51" s="4" t="s">
        <v>24</v>
      </c>
      <c r="D51" s="4" t="s">
        <v>21</v>
      </c>
      <c r="E51" s="4">
        <v>81801.8</v>
      </c>
      <c r="F51" s="4">
        <v>6782</v>
      </c>
      <c r="G51" s="4">
        <v>0.05</v>
      </c>
      <c r="H51" s="4">
        <v>16</v>
      </c>
      <c r="I51" s="4">
        <v>99</v>
      </c>
      <c r="J51" s="4">
        <v>9.5399999999999991</v>
      </c>
      <c r="K51" s="4">
        <v>0</v>
      </c>
      <c r="L51" s="4">
        <v>3.7</v>
      </c>
      <c r="M51" s="4">
        <v>764949</v>
      </c>
      <c r="N51" s="4">
        <v>148322.43</v>
      </c>
      <c r="O51">
        <f>396109.2647+(1.143827975*E51)+(33.53435949*F51)</f>
        <v>717106.47800653498</v>
      </c>
      <c r="P51">
        <f>M51-O51</f>
        <v>47842.521993465023</v>
      </c>
    </row>
    <row r="52" spans="1:16">
      <c r="A52" s="4" t="s">
        <v>59</v>
      </c>
      <c r="B52" s="6">
        <v>45689</v>
      </c>
      <c r="C52" s="4" t="s">
        <v>24</v>
      </c>
      <c r="D52" s="4" t="s">
        <v>28</v>
      </c>
      <c r="E52" s="4">
        <v>43319.94</v>
      </c>
      <c r="F52" s="4">
        <v>6551</v>
      </c>
      <c r="G52" s="4">
        <v>4.3999999999999997E-2</v>
      </c>
      <c r="H52" s="4">
        <v>13</v>
      </c>
      <c r="I52" s="4">
        <v>99</v>
      </c>
      <c r="J52" s="4">
        <v>5.45</v>
      </c>
      <c r="K52" s="4">
        <v>0</v>
      </c>
      <c r="L52" s="4">
        <v>4.0999999999999996</v>
      </c>
      <c r="M52" s="4">
        <v>712868.35</v>
      </c>
      <c r="N52" s="4">
        <v>133650.51</v>
      </c>
      <c r="O52">
        <f>396109.2647+(1.143827975*E52)+(33.53435949*F52)</f>
        <v>665343.41296631144</v>
      </c>
      <c r="P52">
        <f>M52-O52</f>
        <v>47524.937033688533</v>
      </c>
    </row>
    <row r="53" spans="1:16">
      <c r="A53" s="4" t="s">
        <v>89</v>
      </c>
      <c r="B53" s="6">
        <v>45689</v>
      </c>
      <c r="C53" s="4" t="s">
        <v>15</v>
      </c>
      <c r="D53" s="4" t="s">
        <v>28</v>
      </c>
      <c r="E53" s="4">
        <v>23914.97</v>
      </c>
      <c r="F53" s="4">
        <v>8018</v>
      </c>
      <c r="G53" s="4">
        <v>0.13900000000000001</v>
      </c>
      <c r="H53" s="4">
        <v>20</v>
      </c>
      <c r="I53" s="4">
        <v>89</v>
      </c>
      <c r="J53" s="4">
        <v>0.2</v>
      </c>
      <c r="K53" s="4">
        <v>0</v>
      </c>
      <c r="L53" s="4">
        <v>3.5</v>
      </c>
      <c r="M53" s="4">
        <v>739374.56</v>
      </c>
      <c r="N53" s="4">
        <v>121032.29</v>
      </c>
      <c r="O53">
        <f>396109.2647+(1.143827975*E53)+(33.53435949*F53)</f>
        <v>692342.37079810572</v>
      </c>
      <c r="P53">
        <f>M53-O53</f>
        <v>47032.189201894333</v>
      </c>
    </row>
    <row r="54" spans="1:16">
      <c r="A54" s="4" t="s">
        <v>35</v>
      </c>
      <c r="B54" s="6">
        <v>45717</v>
      </c>
      <c r="C54" s="4" t="s">
        <v>27</v>
      </c>
      <c r="D54" s="4" t="s">
        <v>18</v>
      </c>
      <c r="E54" s="4">
        <v>81195.5</v>
      </c>
      <c r="F54" s="4">
        <v>5516</v>
      </c>
      <c r="G54" s="4">
        <v>0.106</v>
      </c>
      <c r="H54" s="4">
        <v>14</v>
      </c>
      <c r="I54" s="4">
        <v>88</v>
      </c>
      <c r="J54" s="4">
        <v>1.76</v>
      </c>
      <c r="K54" s="4">
        <v>0</v>
      </c>
      <c r="L54" s="4">
        <v>4.3</v>
      </c>
      <c r="M54" s="4">
        <v>720852.5</v>
      </c>
      <c r="N54" s="4">
        <v>98565.62</v>
      </c>
      <c r="O54">
        <f>396109.2647+(1.143827975*E54)+(33.53435949*F54)</f>
        <v>673958.47599095246</v>
      </c>
      <c r="P54">
        <f>M54-O54</f>
        <v>46894.024009047542</v>
      </c>
    </row>
    <row r="55" spans="1:16">
      <c r="A55" s="4" t="s">
        <v>57</v>
      </c>
      <c r="B55" s="6">
        <v>45717</v>
      </c>
      <c r="C55" s="4" t="s">
        <v>27</v>
      </c>
      <c r="D55" s="4" t="s">
        <v>18</v>
      </c>
      <c r="E55" s="4">
        <v>44034.6</v>
      </c>
      <c r="F55" s="4">
        <v>5645</v>
      </c>
      <c r="G55" s="4">
        <v>6.9000000000000006E-2</v>
      </c>
      <c r="H55" s="4">
        <v>18</v>
      </c>
      <c r="I55" s="4">
        <v>88.5</v>
      </c>
      <c r="J55" s="4">
        <v>3.07</v>
      </c>
      <c r="K55" s="4">
        <v>0</v>
      </c>
      <c r="L55" s="4">
        <v>3.8</v>
      </c>
      <c r="M55" s="4">
        <v>682639.28</v>
      </c>
      <c r="N55" s="4">
        <v>77557.53</v>
      </c>
      <c r="O55">
        <f>396109.2647+(1.143827975*E55)+(33.53435949*F55)</f>
        <v>635778.73136898503</v>
      </c>
      <c r="P55">
        <f>M55-O55</f>
        <v>46860.548631015001</v>
      </c>
    </row>
    <row r="56" spans="1:16">
      <c r="A56" s="4" t="s">
        <v>71</v>
      </c>
      <c r="B56" s="6">
        <v>45658</v>
      </c>
      <c r="C56" s="4" t="s">
        <v>20</v>
      </c>
      <c r="D56" s="4" t="s">
        <v>16</v>
      </c>
      <c r="E56" s="4">
        <v>71851.45</v>
      </c>
      <c r="F56" s="4">
        <v>4970</v>
      </c>
      <c r="G56" s="4">
        <v>9.8000000000000004E-2</v>
      </c>
      <c r="H56" s="4">
        <v>11</v>
      </c>
      <c r="I56" s="4">
        <v>89.6</v>
      </c>
      <c r="J56" s="4">
        <v>0.2</v>
      </c>
      <c r="K56" s="4">
        <v>0</v>
      </c>
      <c r="L56" s="4">
        <v>4.2</v>
      </c>
      <c r="M56" s="4">
        <v>691447.43</v>
      </c>
      <c r="N56" s="4">
        <v>114077.69</v>
      </c>
      <c r="O56">
        <f>396109.2647+(1.143827975*E56)+(33.53435949*F56)</f>
        <v>644960.7299196138</v>
      </c>
      <c r="P56">
        <f>M56-O56</f>
        <v>46486.700080386247</v>
      </c>
    </row>
    <row r="57" spans="1:16">
      <c r="A57" s="4" t="s">
        <v>88</v>
      </c>
      <c r="B57" s="6">
        <v>45748</v>
      </c>
      <c r="C57" s="4" t="s">
        <v>15</v>
      </c>
      <c r="D57" s="4" t="s">
        <v>18</v>
      </c>
      <c r="E57" s="4">
        <v>67722.289999999994</v>
      </c>
      <c r="F57" s="4">
        <v>7240</v>
      </c>
      <c r="G57" s="4">
        <v>2.5999999999999999E-2</v>
      </c>
      <c r="H57" s="4">
        <v>15</v>
      </c>
      <c r="I57" s="4">
        <v>92.9</v>
      </c>
      <c r="J57" s="4">
        <v>0.28999999999999998</v>
      </c>
      <c r="K57" s="4">
        <v>0</v>
      </c>
      <c r="L57" s="4">
        <v>3.5</v>
      </c>
      <c r="M57" s="4">
        <v>762328.31</v>
      </c>
      <c r="N57" s="4">
        <v>159158.19</v>
      </c>
      <c r="O57">
        <f>396109.2647+(1.143827975*E57)+(33.53435949*F57)</f>
        <v>716360.67724066274</v>
      </c>
      <c r="P57">
        <f>M57-O57</f>
        <v>45967.632759337313</v>
      </c>
    </row>
    <row r="58" spans="1:16">
      <c r="A58" s="4" t="s">
        <v>37</v>
      </c>
      <c r="B58" s="6">
        <v>45689</v>
      </c>
      <c r="C58" s="4" t="s">
        <v>24</v>
      </c>
      <c r="D58" s="4" t="s">
        <v>18</v>
      </c>
      <c r="E58" s="4">
        <v>37284.660000000003</v>
      </c>
      <c r="F58" s="4">
        <v>3928</v>
      </c>
      <c r="G58" s="4">
        <v>7.3999999999999996E-2</v>
      </c>
      <c r="H58" s="4">
        <v>12</v>
      </c>
      <c r="I58" s="4">
        <v>86.5</v>
      </c>
      <c r="J58" s="4">
        <v>1.64</v>
      </c>
      <c r="K58" s="4">
        <v>0</v>
      </c>
      <c r="L58" s="4">
        <v>3.8</v>
      </c>
      <c r="M58" s="4">
        <v>615966.48</v>
      </c>
      <c r="N58" s="4">
        <v>91509.38</v>
      </c>
      <c r="O58">
        <f>396109.2647+(1.143827975*E58)+(33.53435949*F58)</f>
        <v>570479.46592308348</v>
      </c>
      <c r="P58">
        <f>M58-O58</f>
        <v>45487.014076916501</v>
      </c>
    </row>
    <row r="59" spans="1:16">
      <c r="A59" s="4" t="s">
        <v>57</v>
      </c>
      <c r="B59" s="6">
        <v>45658</v>
      </c>
      <c r="C59" s="4" t="s">
        <v>27</v>
      </c>
      <c r="D59" s="4" t="s">
        <v>18</v>
      </c>
      <c r="E59" s="4">
        <v>51430.31</v>
      </c>
      <c r="F59" s="4">
        <v>6427</v>
      </c>
      <c r="G59" s="4">
        <v>0.23400000000000001</v>
      </c>
      <c r="H59" s="4">
        <v>14</v>
      </c>
      <c r="I59" s="4">
        <v>88.8</v>
      </c>
      <c r="J59" s="4">
        <v>0.77</v>
      </c>
      <c r="K59" s="4">
        <v>0</v>
      </c>
      <c r="L59" s="4">
        <v>4.0999999999999996</v>
      </c>
      <c r="M59" s="4">
        <v>715890.53</v>
      </c>
      <c r="N59" s="4">
        <v>109032.15</v>
      </c>
      <c r="O59">
        <f>396109.2647+(1.143827975*E59)+(33.53435949*F59)</f>
        <v>670462.02048315224</v>
      </c>
      <c r="P59">
        <f>M59-O59</f>
        <v>45428.509516847786</v>
      </c>
    </row>
    <row r="60" spans="1:16">
      <c r="A60" s="4" t="s">
        <v>75</v>
      </c>
      <c r="B60" s="6">
        <v>45689</v>
      </c>
      <c r="C60" s="4" t="s">
        <v>27</v>
      </c>
      <c r="D60" s="4" t="s">
        <v>16</v>
      </c>
      <c r="E60" s="4">
        <v>41819.449999999997</v>
      </c>
      <c r="F60" s="4">
        <v>9412</v>
      </c>
      <c r="G60" s="4">
        <v>0.15</v>
      </c>
      <c r="H60" s="4">
        <v>22</v>
      </c>
      <c r="I60" s="4">
        <v>91</v>
      </c>
      <c r="J60" s="4">
        <v>3.67</v>
      </c>
      <c r="K60" s="4">
        <v>0</v>
      </c>
      <c r="L60" s="4">
        <v>4.2</v>
      </c>
      <c r="M60" s="4">
        <v>804975.5</v>
      </c>
      <c r="N60" s="4">
        <v>140054.5</v>
      </c>
      <c r="O60">
        <f>396109.2647+(1.143827975*E60)+(33.53435949*F60)</f>
        <v>759568.91302899364</v>
      </c>
      <c r="P60">
        <f>M60-O60</f>
        <v>45406.586971006356</v>
      </c>
    </row>
    <row r="61" spans="1:16">
      <c r="A61" s="4" t="s">
        <v>79</v>
      </c>
      <c r="B61" s="6">
        <v>45689</v>
      </c>
      <c r="C61" s="4" t="s">
        <v>15</v>
      </c>
      <c r="D61" s="4" t="s">
        <v>18</v>
      </c>
      <c r="E61" s="4">
        <v>113736</v>
      </c>
      <c r="F61" s="4">
        <v>8961</v>
      </c>
      <c r="G61" s="4">
        <v>0.20200000000000001</v>
      </c>
      <c r="H61" s="4">
        <v>24</v>
      </c>
      <c r="I61" s="4">
        <v>86.2</v>
      </c>
      <c r="J61" s="4">
        <v>21.63</v>
      </c>
      <c r="K61" s="4">
        <v>0</v>
      </c>
      <c r="L61" s="4">
        <v>4</v>
      </c>
      <c r="M61" s="4">
        <v>870937.4</v>
      </c>
      <c r="N61" s="4">
        <v>175282.74</v>
      </c>
      <c r="O61">
        <f>396109.2647+(1.143827975*E61)+(33.53435949*F61)</f>
        <v>826705.07865448995</v>
      </c>
      <c r="P61">
        <f>M61-O61</f>
        <v>44232.321345510078</v>
      </c>
    </row>
    <row r="62" spans="1:16">
      <c r="A62" s="4" t="s">
        <v>100</v>
      </c>
      <c r="B62" s="6">
        <v>45717</v>
      </c>
      <c r="C62" s="4" t="s">
        <v>20</v>
      </c>
      <c r="D62" s="4" t="s">
        <v>16</v>
      </c>
      <c r="E62" s="4">
        <v>62507.16</v>
      </c>
      <c r="F62" s="4">
        <v>6000</v>
      </c>
      <c r="G62" s="4">
        <v>9.0999999999999998E-2</v>
      </c>
      <c r="H62" s="4">
        <v>14</v>
      </c>
      <c r="I62" s="4">
        <v>98.2</v>
      </c>
      <c r="J62" s="4">
        <v>4.38</v>
      </c>
      <c r="K62" s="4">
        <v>1</v>
      </c>
      <c r="L62" s="4">
        <v>3.9</v>
      </c>
      <c r="M62" s="4">
        <v>712375.77</v>
      </c>
      <c r="N62" s="4">
        <v>104171.53</v>
      </c>
      <c r="O62">
        <f>396109.2647+(1.143827975*E62)+(33.53435949*F62)</f>
        <v>668812.85988580098</v>
      </c>
      <c r="P62">
        <f>M62-O62</f>
        <v>43562.91011419904</v>
      </c>
    </row>
    <row r="63" spans="1:16">
      <c r="A63" s="4" t="s">
        <v>78</v>
      </c>
      <c r="B63" s="6">
        <v>45748</v>
      </c>
      <c r="C63" s="4" t="s">
        <v>15</v>
      </c>
      <c r="D63" s="4" t="s">
        <v>28</v>
      </c>
      <c r="E63" s="4">
        <v>39341.449999999997</v>
      </c>
      <c r="F63" s="4">
        <v>1375</v>
      </c>
      <c r="G63" s="4">
        <v>9.2999999999999999E-2</v>
      </c>
      <c r="H63" s="4">
        <v>5</v>
      </c>
      <c r="I63" s="4">
        <v>95</v>
      </c>
      <c r="J63" s="4">
        <v>5.32</v>
      </c>
      <c r="K63" s="4">
        <v>0</v>
      </c>
      <c r="L63" s="4"/>
      <c r="M63" s="4">
        <v>529598.93999999994</v>
      </c>
      <c r="N63" s="4">
        <v>84334.33</v>
      </c>
      <c r="O63">
        <f>396109.2647+(1.143827975*E63)+(33.53435949*F63)</f>
        <v>487218.86008581374</v>
      </c>
      <c r="P63">
        <f>M63-O63</f>
        <v>42380.079914186208</v>
      </c>
    </row>
    <row r="64" spans="1:16">
      <c r="A64" s="4" t="s">
        <v>66</v>
      </c>
      <c r="B64" s="6">
        <v>45717</v>
      </c>
      <c r="C64" s="4" t="s">
        <v>27</v>
      </c>
      <c r="D64" s="4" t="s">
        <v>21</v>
      </c>
      <c r="E64" s="4">
        <v>40535.089999999997</v>
      </c>
      <c r="F64" s="4">
        <v>8870</v>
      </c>
      <c r="G64" s="4">
        <v>4.1000000000000002E-2</v>
      </c>
      <c r="H64" s="4">
        <v>21</v>
      </c>
      <c r="I64" s="4">
        <v>86.6</v>
      </c>
      <c r="J64" s="4">
        <v>0.3</v>
      </c>
      <c r="K64" s="4">
        <v>0</v>
      </c>
      <c r="L64" s="4">
        <v>4.0999999999999996</v>
      </c>
      <c r="M64" s="4">
        <v>781955.52</v>
      </c>
      <c r="N64" s="4">
        <v>152578.71</v>
      </c>
      <c r="O64">
        <f>396109.2647+(1.143827975*E64)+(33.53435949*F64)</f>
        <v>739924.20328744268</v>
      </c>
      <c r="P64">
        <f>M64-O64</f>
        <v>42031.316712557338</v>
      </c>
    </row>
    <row r="65" spans="1:16">
      <c r="A65" s="4" t="s">
        <v>31</v>
      </c>
      <c r="B65" s="6">
        <v>45658</v>
      </c>
      <c r="C65" s="4" t="s">
        <v>20</v>
      </c>
      <c r="D65" s="4" t="s">
        <v>28</v>
      </c>
      <c r="E65" s="4">
        <v>75269.87</v>
      </c>
      <c r="F65" s="4">
        <v>8838</v>
      </c>
      <c r="G65" s="4">
        <v>9.1999999999999998E-2</v>
      </c>
      <c r="H65" s="4">
        <v>21</v>
      </c>
      <c r="I65" s="4">
        <v>83.1</v>
      </c>
      <c r="J65" s="4">
        <v>9.56</v>
      </c>
      <c r="K65" s="4">
        <v>1</v>
      </c>
      <c r="L65" s="4">
        <v>4.2</v>
      </c>
      <c r="M65" s="4">
        <v>820593.93</v>
      </c>
      <c r="N65" s="4">
        <v>115860.06</v>
      </c>
      <c r="O65">
        <f>396109.2647+(1.143827975*E65)+(33.53435949*F65)</f>
        <v>778581.71685323329</v>
      </c>
      <c r="P65">
        <f>M65-O65</f>
        <v>42012.213146766764</v>
      </c>
    </row>
    <row r="66" spans="1:16">
      <c r="A66" s="4" t="s">
        <v>57</v>
      </c>
      <c r="B66" s="6">
        <v>45689</v>
      </c>
      <c r="C66" s="4" t="s">
        <v>27</v>
      </c>
      <c r="D66" s="4" t="s">
        <v>18</v>
      </c>
      <c r="E66" s="4">
        <v>45706.49</v>
      </c>
      <c r="F66" s="4">
        <v>6704</v>
      </c>
      <c r="G66" s="4">
        <v>3.7999999999999999E-2</v>
      </c>
      <c r="H66" s="4">
        <v>15</v>
      </c>
      <c r="I66" s="4">
        <v>94.2</v>
      </c>
      <c r="J66" s="4">
        <v>2.92</v>
      </c>
      <c r="K66" s="4">
        <v>0</v>
      </c>
      <c r="L66" s="4">
        <v>4.2</v>
      </c>
      <c r="M66" s="4">
        <v>715097.57</v>
      </c>
      <c r="N66" s="4">
        <v>151875.85999999999</v>
      </c>
      <c r="O66">
        <f>396109.2647+(1.143827975*E66)+(33.53435949*F66)</f>
        <v>673203.97262201773</v>
      </c>
      <c r="P66">
        <f>M66-O66</f>
        <v>41893.597377982223</v>
      </c>
    </row>
    <row r="67" spans="1:16">
      <c r="A67" s="4" t="s">
        <v>68</v>
      </c>
      <c r="B67" s="6">
        <v>45689</v>
      </c>
      <c r="C67" s="4" t="s">
        <v>20</v>
      </c>
      <c r="D67" s="4" t="s">
        <v>18</v>
      </c>
      <c r="E67" s="4">
        <v>57147.88</v>
      </c>
      <c r="F67" s="4">
        <v>5252</v>
      </c>
      <c r="G67" s="4">
        <v>0.161</v>
      </c>
      <c r="H67" s="4">
        <v>15</v>
      </c>
      <c r="I67" s="4">
        <v>95.5</v>
      </c>
      <c r="J67" s="4">
        <v>8.51</v>
      </c>
      <c r="K67" s="4">
        <v>0</v>
      </c>
      <c r="L67" s="4">
        <v>4.4000000000000004</v>
      </c>
      <c r="M67" s="4">
        <v>678311.17</v>
      </c>
      <c r="N67" s="4">
        <v>132029.76000000001</v>
      </c>
      <c r="O67">
        <f>396109.2647+(1.143827975*E67)+(33.53435949*F67)</f>
        <v>637599.06459742296</v>
      </c>
      <c r="P67">
        <f>M67-O67</f>
        <v>40712.105402577086</v>
      </c>
    </row>
    <row r="68" spans="1:16">
      <c r="A68" s="4" t="s">
        <v>52</v>
      </c>
      <c r="B68" s="6">
        <v>45689</v>
      </c>
      <c r="C68" s="4" t="s">
        <v>20</v>
      </c>
      <c r="D68" s="4" t="s">
        <v>18</v>
      </c>
      <c r="E68" s="4">
        <v>83044.17</v>
      </c>
      <c r="F68" s="4">
        <v>3694</v>
      </c>
      <c r="G68" s="4">
        <v>0</v>
      </c>
      <c r="H68" s="4">
        <v>14</v>
      </c>
      <c r="I68" s="4">
        <v>89.4</v>
      </c>
      <c r="J68" s="4">
        <v>2.2000000000000002</v>
      </c>
      <c r="K68" s="4">
        <v>0</v>
      </c>
      <c r="L68" s="4">
        <v>3.7</v>
      </c>
      <c r="M68" s="4">
        <v>654317.09</v>
      </c>
      <c r="N68" s="4">
        <v>121446.89</v>
      </c>
      <c r="O68">
        <f>396109.2647+(1.143827975*E68)+(33.53435949*F68)</f>
        <v>614973.43346271571</v>
      </c>
      <c r="P68">
        <f>M68-O68</f>
        <v>39343.65653728426</v>
      </c>
    </row>
    <row r="69" spans="1:16">
      <c r="A69" s="4" t="s">
        <v>75</v>
      </c>
      <c r="B69" s="6">
        <v>45658</v>
      </c>
      <c r="C69" s="4" t="s">
        <v>27</v>
      </c>
      <c r="D69" s="4" t="s">
        <v>16</v>
      </c>
      <c r="E69" s="4">
        <v>50887.46</v>
      </c>
      <c r="F69" s="4">
        <v>9505</v>
      </c>
      <c r="G69" s="4">
        <v>9.0999999999999998E-2</v>
      </c>
      <c r="H69" s="4">
        <v>25</v>
      </c>
      <c r="I69" s="4">
        <v>89.7</v>
      </c>
      <c r="J69" s="4">
        <v>2.8</v>
      </c>
      <c r="K69" s="4">
        <v>0</v>
      </c>
      <c r="L69" s="4">
        <v>4.3</v>
      </c>
      <c r="M69" s="4">
        <v>812152.6</v>
      </c>
      <c r="N69" s="4">
        <v>138419.43</v>
      </c>
      <c r="O69">
        <f>396109.2647+(1.143827975*E69)+(33.53435949*F69)</f>
        <v>773059.85197714344</v>
      </c>
      <c r="P69">
        <f>M69-O69</f>
        <v>39092.74802285654</v>
      </c>
    </row>
    <row r="70" spans="1:16">
      <c r="A70" s="4" t="s">
        <v>46</v>
      </c>
      <c r="B70" s="6">
        <v>45748</v>
      </c>
      <c r="C70" s="4" t="s">
        <v>27</v>
      </c>
      <c r="D70" s="4" t="s">
        <v>28</v>
      </c>
      <c r="E70" s="4">
        <v>55101.1</v>
      </c>
      <c r="F70" s="4">
        <v>5281</v>
      </c>
      <c r="G70" s="4">
        <v>0.189</v>
      </c>
      <c r="H70" s="4">
        <v>11</v>
      </c>
      <c r="I70" s="4">
        <v>91</v>
      </c>
      <c r="J70" s="4">
        <v>2.7</v>
      </c>
      <c r="K70" s="4">
        <v>0</v>
      </c>
      <c r="L70" s="4">
        <v>4.4000000000000004</v>
      </c>
      <c r="M70" s="4">
        <v>675177.68</v>
      </c>
      <c r="N70" s="4">
        <v>105628.68</v>
      </c>
      <c r="O70">
        <f>396109.2647+(1.143827975*E70)+(33.53435949*F70)</f>
        <v>636230.3967999625</v>
      </c>
      <c r="P70">
        <f>M70-O70</f>
        <v>38947.283200037549</v>
      </c>
    </row>
    <row r="71" spans="1:16">
      <c r="A71" s="4" t="s">
        <v>35</v>
      </c>
      <c r="B71" s="6">
        <v>45689</v>
      </c>
      <c r="C71" s="4" t="s">
        <v>27</v>
      </c>
      <c r="D71" s="4" t="s">
        <v>18</v>
      </c>
      <c r="E71" s="4">
        <v>99874.01</v>
      </c>
      <c r="F71" s="4">
        <v>5887</v>
      </c>
      <c r="G71" s="4">
        <v>0.26200000000000001</v>
      </c>
      <c r="H71" s="4">
        <v>14</v>
      </c>
      <c r="I71" s="4">
        <v>88.7</v>
      </c>
      <c r="J71" s="4">
        <v>6.18</v>
      </c>
      <c r="K71" s="4">
        <v>0</v>
      </c>
      <c r="L71" s="4">
        <v>4.7</v>
      </c>
      <c r="M71" s="4">
        <v>746677.75</v>
      </c>
      <c r="N71" s="4">
        <v>122437.84</v>
      </c>
      <c r="O71">
        <f>396109.2647+(1.143827975*E71)+(33.53435949*F71)</f>
        <v>707764.72563105973</v>
      </c>
      <c r="P71">
        <f>M71-O71</f>
        <v>38913.024368940271</v>
      </c>
    </row>
    <row r="72" spans="1:16">
      <c r="A72" s="4" t="s">
        <v>79</v>
      </c>
      <c r="B72" s="6">
        <v>45748</v>
      </c>
      <c r="C72" s="4" t="s">
        <v>15</v>
      </c>
      <c r="D72" s="4" t="s">
        <v>18</v>
      </c>
      <c r="E72" s="4">
        <v>25818.080000000002</v>
      </c>
      <c r="F72" s="4">
        <v>5457</v>
      </c>
      <c r="G72" s="4">
        <v>0</v>
      </c>
      <c r="H72" s="4">
        <v>11</v>
      </c>
      <c r="I72" s="4">
        <v>95.4</v>
      </c>
      <c r="J72" s="4"/>
      <c r="K72" s="4">
        <v>0</v>
      </c>
      <c r="L72" s="4">
        <v>3.7</v>
      </c>
      <c r="M72" s="4">
        <v>647512.85</v>
      </c>
      <c r="N72" s="4">
        <v>153835.57</v>
      </c>
      <c r="O72">
        <f>396109.2647+(1.143827975*E72)+(33.53435949*F72)</f>
        <v>608637.70660171797</v>
      </c>
      <c r="P72">
        <f>M72-O72</f>
        <v>38875.143398282002</v>
      </c>
    </row>
    <row r="73" spans="1:16">
      <c r="A73" s="4" t="s">
        <v>87</v>
      </c>
      <c r="B73" s="6">
        <v>45748</v>
      </c>
      <c r="C73" s="4" t="s">
        <v>27</v>
      </c>
      <c r="D73" s="4" t="s">
        <v>18</v>
      </c>
      <c r="E73" s="4">
        <v>58688.26</v>
      </c>
      <c r="F73" s="4">
        <v>4022</v>
      </c>
      <c r="G73" s="4">
        <v>0.217</v>
      </c>
      <c r="H73" s="4">
        <v>12</v>
      </c>
      <c r="I73" s="4">
        <v>93.8</v>
      </c>
      <c r="J73" s="4">
        <v>11.78</v>
      </c>
      <c r="K73" s="4">
        <v>0</v>
      </c>
      <c r="L73" s="4">
        <v>3.7</v>
      </c>
      <c r="M73" s="4">
        <v>636613.23</v>
      </c>
      <c r="N73" s="4">
        <v>78908.350000000006</v>
      </c>
      <c r="O73">
        <f>396109.2647+(1.143827975*E73)+(33.53435949*F73)</f>
        <v>598113.73216085357</v>
      </c>
      <c r="P73">
        <f>M73-O73</f>
        <v>38499.49783914641</v>
      </c>
    </row>
    <row r="74" spans="1:16">
      <c r="A74" s="4" t="s">
        <v>100</v>
      </c>
      <c r="B74" s="6">
        <v>45748</v>
      </c>
      <c r="C74" s="4" t="s">
        <v>20</v>
      </c>
      <c r="D74" s="4" t="s">
        <v>16</v>
      </c>
      <c r="E74" s="4">
        <v>66456.28</v>
      </c>
      <c r="F74" s="4">
        <v>9967</v>
      </c>
      <c r="G74" s="4">
        <v>0.108</v>
      </c>
      <c r="H74" s="4">
        <v>20</v>
      </c>
      <c r="I74" s="4">
        <v>94.7</v>
      </c>
      <c r="J74" s="4">
        <v>4.4800000000000004</v>
      </c>
      <c r="K74" s="4">
        <v>0</v>
      </c>
      <c r="L74" s="4">
        <v>4.2</v>
      </c>
      <c r="M74" s="4">
        <v>844710.67</v>
      </c>
      <c r="N74" s="4">
        <v>137140.18</v>
      </c>
      <c r="O74">
        <f>396109.2647+(1.143827975*E74)+(33.53435949*F74)</f>
        <v>806360.77791526297</v>
      </c>
      <c r="P74">
        <f>M74-O74</f>
        <v>38349.892084737075</v>
      </c>
    </row>
    <row r="75" spans="1:16">
      <c r="A75" s="4" t="s">
        <v>41</v>
      </c>
      <c r="B75" s="6">
        <v>45717</v>
      </c>
      <c r="C75" s="4" t="s">
        <v>24</v>
      </c>
      <c r="D75" s="4" t="s">
        <v>18</v>
      </c>
      <c r="E75" s="4">
        <v>80562.81</v>
      </c>
      <c r="F75" s="4">
        <v>7470</v>
      </c>
      <c r="G75" s="4">
        <v>0.17199999999999999</v>
      </c>
      <c r="H75" s="4">
        <v>16</v>
      </c>
      <c r="I75" s="4">
        <v>83.5</v>
      </c>
      <c r="J75" s="4">
        <v>2.29</v>
      </c>
      <c r="K75" s="4">
        <v>0</v>
      </c>
      <c r="L75" s="4">
        <v>3.3</v>
      </c>
      <c r="M75" s="4">
        <v>776922.17</v>
      </c>
      <c r="N75" s="4">
        <v>150701.93</v>
      </c>
      <c r="O75">
        <f>396109.2647+(1.143827975*E75)+(33.53435949*F75)</f>
        <v>738760.92591290979</v>
      </c>
      <c r="P75">
        <f>M75-O75</f>
        <v>38161.24408709025</v>
      </c>
    </row>
    <row r="76" spans="1:16">
      <c r="A76" s="4" t="s">
        <v>82</v>
      </c>
      <c r="B76" s="6">
        <v>45748</v>
      </c>
      <c r="C76" s="4" t="s">
        <v>24</v>
      </c>
      <c r="D76" s="4" t="s">
        <v>21</v>
      </c>
      <c r="E76" s="4">
        <v>53546.34</v>
      </c>
      <c r="F76" s="4">
        <v>8004</v>
      </c>
      <c r="G76" s="4">
        <v>0</v>
      </c>
      <c r="H76" s="4">
        <v>21</v>
      </c>
      <c r="I76" s="4">
        <v>95.2</v>
      </c>
      <c r="J76" s="4">
        <v>2.83</v>
      </c>
      <c r="K76" s="4">
        <v>0</v>
      </c>
      <c r="L76" s="4">
        <v>3</v>
      </c>
      <c r="M76" s="4">
        <v>763159.92</v>
      </c>
      <c r="N76" s="4">
        <v>177104.87</v>
      </c>
      <c r="O76">
        <f>396109.2647+(1.143827975*E76)+(33.53435949*F76)</f>
        <v>725766.07970882149</v>
      </c>
      <c r="P76">
        <f>M76-O76</f>
        <v>37393.840291178552</v>
      </c>
    </row>
    <row r="77" spans="1:16">
      <c r="A77" s="4" t="s">
        <v>57</v>
      </c>
      <c r="B77" s="6">
        <v>45748</v>
      </c>
      <c r="C77" s="4" t="s">
        <v>27</v>
      </c>
      <c r="D77" s="4" t="s">
        <v>18</v>
      </c>
      <c r="E77" s="4">
        <v>50198.12</v>
      </c>
      <c r="F77" s="4">
        <v>6089</v>
      </c>
      <c r="G77" s="4">
        <v>0.182</v>
      </c>
      <c r="H77" s="4">
        <v>19</v>
      </c>
      <c r="I77" s="4">
        <v>94</v>
      </c>
      <c r="J77" s="4">
        <v>9.6999999999999993</v>
      </c>
      <c r="K77" s="4">
        <v>0</v>
      </c>
      <c r="L77" s="4">
        <v>3.9</v>
      </c>
      <c r="M77" s="4">
        <v>695098.51</v>
      </c>
      <c r="N77" s="4">
        <v>108192.75</v>
      </c>
      <c r="O77">
        <f>396109.2647+(1.143827975*E77)+(33.53435949*F77)</f>
        <v>657717.99358301703</v>
      </c>
      <c r="P77">
        <f>M77-O77</f>
        <v>37380.51641698298</v>
      </c>
    </row>
    <row r="78" spans="1:16">
      <c r="A78" s="4" t="s">
        <v>31</v>
      </c>
      <c r="B78" s="6">
        <v>45748</v>
      </c>
      <c r="C78" s="4" t="s">
        <v>20</v>
      </c>
      <c r="D78" s="4" t="s">
        <v>28</v>
      </c>
      <c r="E78" s="4">
        <v>65012.19</v>
      </c>
      <c r="F78" s="4">
        <v>9598</v>
      </c>
      <c r="G78" s="4">
        <v>8.5000000000000006E-2</v>
      </c>
      <c r="H78" s="4">
        <v>24</v>
      </c>
      <c r="I78" s="4">
        <v>98.3</v>
      </c>
      <c r="J78" s="4">
        <v>0.89</v>
      </c>
      <c r="K78" s="4">
        <v>0</v>
      </c>
      <c r="L78" s="4">
        <v>3.8</v>
      </c>
      <c r="M78" s="4">
        <v>828623.85</v>
      </c>
      <c r="N78" s="4">
        <v>167320.51999999999</v>
      </c>
      <c r="O78">
        <f>396109.2647+(1.143827975*E78)+(33.53435949*F78)</f>
        <v>792334.80872303527</v>
      </c>
      <c r="P78">
        <f>M78-O78</f>
        <v>36289.041276964708</v>
      </c>
    </row>
    <row r="79" spans="1:16">
      <c r="A79" s="4" t="s">
        <v>63</v>
      </c>
      <c r="B79" s="6">
        <v>45658</v>
      </c>
      <c r="C79" s="4" t="s">
        <v>20</v>
      </c>
      <c r="D79" s="4" t="s">
        <v>28</v>
      </c>
      <c r="E79" s="4">
        <v>72150.53</v>
      </c>
      <c r="F79" s="4">
        <v>9323</v>
      </c>
      <c r="G79" s="4">
        <v>0.157</v>
      </c>
      <c r="H79" s="4">
        <v>22</v>
      </c>
      <c r="I79" s="4">
        <v>82.9</v>
      </c>
      <c r="J79" s="4">
        <v>11.37</v>
      </c>
      <c r="K79" s="4">
        <v>1</v>
      </c>
      <c r="L79" s="4">
        <v>4.3</v>
      </c>
      <c r="M79" s="4">
        <v>825797.91</v>
      </c>
      <c r="N79" s="4">
        <v>130945.24</v>
      </c>
      <c r="O79">
        <f>396109.2647+(1.143827975*E79)+(33.53435949*F79)</f>
        <v>791277.89285034675</v>
      </c>
      <c r="P79">
        <f>M79-O79</f>
        <v>34520.017149653286</v>
      </c>
    </row>
    <row r="80" spans="1:16">
      <c r="A80" s="4" t="s">
        <v>76</v>
      </c>
      <c r="B80" s="6">
        <v>45748</v>
      </c>
      <c r="C80" s="4" t="s">
        <v>20</v>
      </c>
      <c r="D80" s="4" t="s">
        <v>21</v>
      </c>
      <c r="E80" s="4">
        <v>16451.849999999999</v>
      </c>
      <c r="F80" s="4">
        <v>4678</v>
      </c>
      <c r="G80" s="4">
        <v>0.13300000000000001</v>
      </c>
      <c r="H80" s="4">
        <v>11</v>
      </c>
      <c r="I80" s="4">
        <v>95.9</v>
      </c>
      <c r="J80" s="4">
        <v>3.1</v>
      </c>
      <c r="K80" s="4">
        <v>0</v>
      </c>
      <c r="L80" s="4">
        <v>3.9</v>
      </c>
      <c r="M80" s="4">
        <v>606278.30000000005</v>
      </c>
      <c r="N80" s="4">
        <v>102213.26</v>
      </c>
      <c r="O80">
        <f>396109.2647+(1.143827975*E80)+(33.53435949*F80)</f>
        <v>571801.08466472372</v>
      </c>
      <c r="P80">
        <f>M80-O80</f>
        <v>34477.215335276327</v>
      </c>
    </row>
    <row r="81" spans="1:16">
      <c r="A81" s="4" t="s">
        <v>84</v>
      </c>
      <c r="B81" s="6">
        <v>45658</v>
      </c>
      <c r="C81" s="4" t="s">
        <v>20</v>
      </c>
      <c r="D81" s="4" t="s">
        <v>18</v>
      </c>
      <c r="E81" s="4">
        <v>40923.67</v>
      </c>
      <c r="F81" s="4">
        <v>3875</v>
      </c>
      <c r="G81" s="4">
        <v>0.15</v>
      </c>
      <c r="H81" s="4">
        <v>10</v>
      </c>
      <c r="I81" s="4">
        <v>96.1</v>
      </c>
      <c r="J81" s="4"/>
      <c r="K81" s="4">
        <v>0</v>
      </c>
      <c r="L81" s="4">
        <v>3.8</v>
      </c>
      <c r="M81" s="4">
        <v>606783.67000000004</v>
      </c>
      <c r="N81" s="4">
        <v>74515.87</v>
      </c>
      <c r="O81">
        <f>396109.2647+(1.143827975*E81)+(33.53435949*F81)</f>
        <v>572864.54630941828</v>
      </c>
      <c r="P81">
        <f>M81-O81</f>
        <v>33919.123690581764</v>
      </c>
    </row>
    <row r="82" spans="1:16">
      <c r="A82" s="4" t="s">
        <v>33</v>
      </c>
      <c r="B82" s="6">
        <v>45717</v>
      </c>
      <c r="C82" s="4" t="s">
        <v>27</v>
      </c>
      <c r="D82" s="4" t="s">
        <v>16</v>
      </c>
      <c r="E82" s="4">
        <v>50043.65</v>
      </c>
      <c r="F82" s="4">
        <v>3804</v>
      </c>
      <c r="G82" s="4">
        <v>0.113</v>
      </c>
      <c r="H82" s="4">
        <v>11</v>
      </c>
      <c r="I82" s="4">
        <v>90.9</v>
      </c>
      <c r="J82" s="4">
        <v>2.7</v>
      </c>
      <c r="K82" s="4">
        <v>1</v>
      </c>
      <c r="L82" s="4">
        <v>3.2</v>
      </c>
      <c r="M82" s="4">
        <v>614800.09</v>
      </c>
      <c r="N82" s="4">
        <v>100044.2</v>
      </c>
      <c r="O82">
        <f>396109.2647+(1.143827975*E82)+(33.53435949*F82)</f>
        <v>580915.29504106869</v>
      </c>
      <c r="P82">
        <f>M82-O82</f>
        <v>33884.794958931278</v>
      </c>
    </row>
    <row r="83" spans="1:16">
      <c r="A83" s="4" t="s">
        <v>90</v>
      </c>
      <c r="B83" s="6">
        <v>45689</v>
      </c>
      <c r="C83" s="4" t="s">
        <v>27</v>
      </c>
      <c r="D83" s="4" t="s">
        <v>18</v>
      </c>
      <c r="E83" s="4">
        <v>17562.57</v>
      </c>
      <c r="F83" s="4">
        <v>3326</v>
      </c>
      <c r="G83" s="4">
        <v>0.153</v>
      </c>
      <c r="H83" s="4">
        <v>14</v>
      </c>
      <c r="I83" s="4">
        <v>88.1</v>
      </c>
      <c r="J83" s="4">
        <v>1.04</v>
      </c>
      <c r="K83" s="4">
        <v>0</v>
      </c>
      <c r="L83" s="4">
        <v>3.1</v>
      </c>
      <c r="M83" s="4">
        <v>561597.32999999996</v>
      </c>
      <c r="N83" s="4">
        <v>75072.75</v>
      </c>
      <c r="O83">
        <f>396109.2647+(1.143827975*E83)+(33.53435949*F83)</f>
        <v>527733.10324263573</v>
      </c>
      <c r="P83">
        <f>M83-O83</f>
        <v>33864.226757364231</v>
      </c>
    </row>
    <row r="84" spans="1:16">
      <c r="A84" s="4" t="s">
        <v>39</v>
      </c>
      <c r="B84" s="6">
        <v>45717</v>
      </c>
      <c r="C84" s="4" t="s">
        <v>15</v>
      </c>
      <c r="D84" s="4" t="s">
        <v>18</v>
      </c>
      <c r="E84" s="4">
        <v>60571.82</v>
      </c>
      <c r="F84" s="4">
        <v>3193</v>
      </c>
      <c r="G84" s="4">
        <v>0.19700000000000001</v>
      </c>
      <c r="H84" s="4">
        <v>7</v>
      </c>
      <c r="I84" s="4">
        <v>99</v>
      </c>
      <c r="J84" s="4">
        <v>1.43</v>
      </c>
      <c r="K84" s="4">
        <v>0</v>
      </c>
      <c r="L84" s="4">
        <v>3.2</v>
      </c>
      <c r="M84" s="4">
        <v>605023.87</v>
      </c>
      <c r="N84" s="4">
        <v>98545.81</v>
      </c>
      <c r="O84">
        <f>396109.2647+(1.143827975*E84)+(33.53435949*F84)</f>
        <v>572468.21676423447</v>
      </c>
      <c r="P84">
        <f>M84-O84</f>
        <v>32555.653235765523</v>
      </c>
    </row>
    <row r="85" spans="1:16">
      <c r="A85" s="4" t="s">
        <v>98</v>
      </c>
      <c r="B85" s="6">
        <v>45717</v>
      </c>
      <c r="C85" s="4" t="s">
        <v>24</v>
      </c>
      <c r="D85" s="4" t="s">
        <v>16</v>
      </c>
      <c r="E85" s="4">
        <v>22387.26</v>
      </c>
      <c r="F85" s="4">
        <v>6301</v>
      </c>
      <c r="G85" s="4">
        <v>0.14599999999999999</v>
      </c>
      <c r="H85" s="4">
        <v>14</v>
      </c>
      <c r="I85" s="4">
        <v>85.9</v>
      </c>
      <c r="J85" s="4">
        <v>1.17</v>
      </c>
      <c r="K85" s="4">
        <v>1</v>
      </c>
      <c r="L85" s="4">
        <v>3.7</v>
      </c>
      <c r="M85" s="4">
        <v>665342.49</v>
      </c>
      <c r="N85" s="4">
        <v>93441.81</v>
      </c>
      <c r="O85">
        <f>396109.2647+(1.143827975*E85)+(33.53435949*F85)</f>
        <v>633016.43811808852</v>
      </c>
      <c r="P85">
        <f>M85-O85</f>
        <v>32326.051881911466</v>
      </c>
    </row>
    <row r="86" spans="1:16">
      <c r="A86" s="4" t="s">
        <v>41</v>
      </c>
      <c r="B86" s="6">
        <v>45689</v>
      </c>
      <c r="C86" s="4" t="s">
        <v>24</v>
      </c>
      <c r="D86" s="4" t="s">
        <v>18</v>
      </c>
      <c r="E86" s="4">
        <v>54872.82</v>
      </c>
      <c r="F86" s="4">
        <v>5962</v>
      </c>
      <c r="G86" s="4">
        <v>6.4000000000000001E-2</v>
      </c>
      <c r="H86" s="4">
        <v>12</v>
      </c>
      <c r="I86" s="4">
        <v>85.4</v>
      </c>
      <c r="J86" s="4">
        <v>2.58</v>
      </c>
      <c r="K86" s="4">
        <v>0</v>
      </c>
      <c r="L86" s="4">
        <v>2.9</v>
      </c>
      <c r="M86" s="4">
        <v>691112.6</v>
      </c>
      <c r="N86" s="4">
        <v>109212.83</v>
      </c>
      <c r="O86">
        <f>396109.2647+(1.143827975*E86)+(33.53435949*F86)</f>
        <v>658806.18256251956</v>
      </c>
      <c r="P86">
        <f>M86-O86</f>
        <v>32306.417437480413</v>
      </c>
    </row>
    <row r="87" spans="1:16">
      <c r="A87" s="4" t="s">
        <v>91</v>
      </c>
      <c r="B87" s="6">
        <v>45689</v>
      </c>
      <c r="C87" s="4" t="s">
        <v>24</v>
      </c>
      <c r="D87" s="4" t="s">
        <v>16</v>
      </c>
      <c r="E87" s="4">
        <v>36832.33</v>
      </c>
      <c r="F87" s="4">
        <v>8001</v>
      </c>
      <c r="G87" s="4">
        <v>0</v>
      </c>
      <c r="H87" s="4">
        <v>19</v>
      </c>
      <c r="I87" s="4">
        <v>88.7</v>
      </c>
      <c r="J87" s="4">
        <v>3.39</v>
      </c>
      <c r="K87" s="4">
        <v>0</v>
      </c>
      <c r="L87" s="4">
        <v>4</v>
      </c>
      <c r="M87" s="4">
        <v>738548.42</v>
      </c>
      <c r="N87" s="4">
        <v>134282.76999999999</v>
      </c>
      <c r="O87">
        <f>396109.2647+(1.143827975*E87)+(33.53435949*F87)</f>
        <v>706547.52441792167</v>
      </c>
      <c r="P87">
        <f>M87-O87</f>
        <v>32000.895582078374</v>
      </c>
    </row>
    <row r="88" spans="1:16">
      <c r="A88" s="4" t="s">
        <v>39</v>
      </c>
      <c r="B88" s="6">
        <v>45748</v>
      </c>
      <c r="C88" s="4" t="s">
        <v>15</v>
      </c>
      <c r="D88" s="4" t="s">
        <v>18</v>
      </c>
      <c r="E88" s="4">
        <v>55081.16</v>
      </c>
      <c r="F88" s="4">
        <v>5485</v>
      </c>
      <c r="G88" s="4">
        <v>3.5999999999999997E-2</v>
      </c>
      <c r="H88" s="4">
        <v>12</v>
      </c>
      <c r="I88" s="4">
        <v>88</v>
      </c>
      <c r="J88" s="4"/>
      <c r="K88" s="4">
        <v>0</v>
      </c>
      <c r="L88" s="4">
        <v>3.5</v>
      </c>
      <c r="M88" s="4">
        <v>674774.09</v>
      </c>
      <c r="N88" s="4">
        <v>141917.59</v>
      </c>
      <c r="O88">
        <f>396109.2647+(1.143827975*E88)+(33.53435949*F88)</f>
        <v>643048.59820610099</v>
      </c>
      <c r="P88">
        <f>M88-O88</f>
        <v>31725.491793898982</v>
      </c>
    </row>
    <row r="89" spans="1:16">
      <c r="A89" s="4" t="s">
        <v>82</v>
      </c>
      <c r="B89" s="6">
        <v>45689</v>
      </c>
      <c r="C89" s="4" t="s">
        <v>24</v>
      </c>
      <c r="D89" s="4" t="s">
        <v>21</v>
      </c>
      <c r="E89" s="4">
        <v>51781.599999999999</v>
      </c>
      <c r="F89" s="4">
        <v>5648</v>
      </c>
      <c r="G89" s="4">
        <v>5.8999999999999997E-2</v>
      </c>
      <c r="H89" s="4">
        <v>13</v>
      </c>
      <c r="I89" s="4">
        <v>85.5</v>
      </c>
      <c r="J89" s="4">
        <v>4.04</v>
      </c>
      <c r="K89" s="4">
        <v>0</v>
      </c>
      <c r="L89" s="4">
        <v>3.7</v>
      </c>
      <c r="M89" s="4">
        <v>676337.41</v>
      </c>
      <c r="N89" s="4">
        <v>104355.77</v>
      </c>
      <c r="O89">
        <f>396109.2647+(1.143827975*E89)+(33.53435949*F89)</f>
        <v>644740.56976978004</v>
      </c>
      <c r="P89">
        <f>M89-O89</f>
        <v>31596.840230219997</v>
      </c>
    </row>
    <row r="90" spans="1:16">
      <c r="A90" s="4" t="s">
        <v>82</v>
      </c>
      <c r="B90" s="6">
        <v>45658</v>
      </c>
      <c r="C90" s="4" t="s">
        <v>24</v>
      </c>
      <c r="D90" s="4" t="s">
        <v>21</v>
      </c>
      <c r="E90" s="4">
        <v>69900.12</v>
      </c>
      <c r="F90" s="4">
        <v>8055</v>
      </c>
      <c r="G90" s="4">
        <v>0.28100000000000003</v>
      </c>
      <c r="H90" s="4">
        <v>22</v>
      </c>
      <c r="I90" s="4">
        <v>85.6</v>
      </c>
      <c r="J90" s="4">
        <v>10.68</v>
      </c>
      <c r="K90" s="4">
        <v>1</v>
      </c>
      <c r="L90" s="4">
        <v>2.9</v>
      </c>
      <c r="M90" s="4">
        <v>776992.93</v>
      </c>
      <c r="N90" s="4">
        <v>101598.32</v>
      </c>
      <c r="O90">
        <f>396109.2647+(1.143827975*E90)+(33.53435949*F90)</f>
        <v>746182.24310380698</v>
      </c>
      <c r="P90">
        <f>M90-O90</f>
        <v>30810.686896193074</v>
      </c>
    </row>
    <row r="91" spans="1:16">
      <c r="A91" s="4" t="s">
        <v>44</v>
      </c>
      <c r="B91" s="6">
        <v>45748</v>
      </c>
      <c r="C91" s="4" t="s">
        <v>24</v>
      </c>
      <c r="D91" s="4" t="s">
        <v>28</v>
      </c>
      <c r="E91" s="4">
        <v>31207.51</v>
      </c>
      <c r="F91" s="4">
        <v>3701</v>
      </c>
      <c r="G91" s="4">
        <v>4.2999999999999997E-2</v>
      </c>
      <c r="H91" s="4">
        <v>11</v>
      </c>
      <c r="I91" s="4">
        <v>84.7</v>
      </c>
      <c r="J91" s="4">
        <v>0.33</v>
      </c>
      <c r="K91" s="4">
        <v>0</v>
      </c>
      <c r="L91" s="4">
        <v>4.3</v>
      </c>
      <c r="M91" s="4">
        <v>586307.22</v>
      </c>
      <c r="N91" s="4">
        <v>73927.850000000006</v>
      </c>
      <c r="O91">
        <f>396109.2647+(1.143827975*E91)+(33.53435949*F91)</f>
        <v>555915.95214058226</v>
      </c>
      <c r="P91">
        <f>M91-O91</f>
        <v>30391.267859417712</v>
      </c>
    </row>
    <row r="92" spans="1:16">
      <c r="A92" s="4" t="s">
        <v>69</v>
      </c>
      <c r="B92" s="6">
        <v>45658</v>
      </c>
      <c r="C92" s="4" t="s">
        <v>15</v>
      </c>
      <c r="D92" s="4" t="s">
        <v>18</v>
      </c>
      <c r="E92" s="4">
        <v>71641.899999999994</v>
      </c>
      <c r="F92" s="4">
        <v>3506</v>
      </c>
      <c r="G92" s="4">
        <v>0</v>
      </c>
      <c r="H92" s="4">
        <v>11</v>
      </c>
      <c r="I92" s="4">
        <v>86.4</v>
      </c>
      <c r="J92" s="4">
        <v>7.77</v>
      </c>
      <c r="K92" s="4">
        <v>0</v>
      </c>
      <c r="L92" s="4">
        <v>4.0999999999999996</v>
      </c>
      <c r="M92" s="4">
        <v>625993.82999999996</v>
      </c>
      <c r="N92" s="4">
        <v>98960.320000000007</v>
      </c>
      <c r="O92">
        <f>396109.2647+(1.143827975*E92)+(33.53435949*F92)</f>
        <v>595626.73847409245</v>
      </c>
      <c r="P92">
        <f>M92-O92</f>
        <v>30367.091525907512</v>
      </c>
    </row>
    <row r="93" spans="1:16">
      <c r="A93" s="4" t="s">
        <v>61</v>
      </c>
      <c r="B93" s="6">
        <v>45717</v>
      </c>
      <c r="C93" s="4" t="s">
        <v>20</v>
      </c>
      <c r="D93" s="4" t="s">
        <v>28</v>
      </c>
      <c r="E93" s="4">
        <v>56918.16</v>
      </c>
      <c r="F93" s="4">
        <v>7015</v>
      </c>
      <c r="G93" s="4">
        <v>0.158</v>
      </c>
      <c r="H93" s="4">
        <v>18</v>
      </c>
      <c r="I93" s="4">
        <v>74.2</v>
      </c>
      <c r="J93" s="4">
        <v>0.2</v>
      </c>
      <c r="K93" s="4">
        <v>0</v>
      </c>
      <c r="L93" s="4">
        <v>3.4</v>
      </c>
      <c r="M93" s="4">
        <v>724216.07</v>
      </c>
      <c r="N93" s="4">
        <v>100627.56</v>
      </c>
      <c r="O93">
        <f>396109.2647+(1.143827975*E93)+(33.53435949*F93)</f>
        <v>696457.38021587604</v>
      </c>
      <c r="P93">
        <f>M93-O93</f>
        <v>27758.689784123912</v>
      </c>
    </row>
    <row r="94" spans="1:16">
      <c r="A94" s="4" t="s">
        <v>32</v>
      </c>
      <c r="B94" s="6">
        <v>45658</v>
      </c>
      <c r="C94" s="4" t="s">
        <v>15</v>
      </c>
      <c r="D94" s="4" t="s">
        <v>28</v>
      </c>
      <c r="E94" s="4">
        <v>40462.94</v>
      </c>
      <c r="F94" s="4">
        <v>3660</v>
      </c>
      <c r="G94" s="4">
        <v>0.218</v>
      </c>
      <c r="H94" s="4">
        <v>11</v>
      </c>
      <c r="I94" s="4">
        <v>95.2</v>
      </c>
      <c r="J94" s="4">
        <v>5.57</v>
      </c>
      <c r="K94" s="4">
        <v>0</v>
      </c>
      <c r="L94" s="4">
        <v>4.4000000000000004</v>
      </c>
      <c r="M94" s="4">
        <v>592195.85</v>
      </c>
      <c r="N94" s="4">
        <v>92291.56</v>
      </c>
      <c r="O94">
        <f>396109.2647+(1.143827975*E94)+(33.53435949*F94)</f>
        <v>565127.66315614653</v>
      </c>
      <c r="P94">
        <f>M94-O94</f>
        <v>27068.186843853444</v>
      </c>
    </row>
    <row r="95" spans="1:16">
      <c r="A95" s="4" t="s">
        <v>99</v>
      </c>
      <c r="B95" s="6">
        <v>45748</v>
      </c>
      <c r="C95" s="4" t="s">
        <v>24</v>
      </c>
      <c r="D95" s="4" t="s">
        <v>18</v>
      </c>
      <c r="E95" s="4">
        <v>86026.58</v>
      </c>
      <c r="F95" s="4">
        <v>7479</v>
      </c>
      <c r="G95" s="4">
        <v>0.14199999999999999</v>
      </c>
      <c r="H95" s="4">
        <v>20</v>
      </c>
      <c r="I95" s="4">
        <v>89</v>
      </c>
      <c r="J95" s="4">
        <v>0.9</v>
      </c>
      <c r="K95" s="4">
        <v>0</v>
      </c>
      <c r="L95" s="4"/>
      <c r="M95" s="4">
        <v>771129.07</v>
      </c>
      <c r="N95" s="4">
        <v>116851.13</v>
      </c>
      <c r="O95">
        <f>396109.2647+(1.143827975*E95)+(33.53435949*F95)</f>
        <v>745312.34812328545</v>
      </c>
      <c r="P95">
        <f>M95-O95</f>
        <v>25816.721876714495</v>
      </c>
    </row>
    <row r="96" spans="1:16">
      <c r="A96" s="4" t="s">
        <v>53</v>
      </c>
      <c r="B96" s="6">
        <v>45689</v>
      </c>
      <c r="C96" s="4" t="s">
        <v>24</v>
      </c>
      <c r="D96" s="4" t="s">
        <v>18</v>
      </c>
      <c r="E96" s="4">
        <v>44747</v>
      </c>
      <c r="F96" s="4">
        <v>11076</v>
      </c>
      <c r="G96" s="4">
        <v>0.17599999999999999</v>
      </c>
      <c r="H96" s="4">
        <v>27</v>
      </c>
      <c r="I96" s="4">
        <v>98.3</v>
      </c>
      <c r="J96" s="4">
        <v>0.54</v>
      </c>
      <c r="K96" s="4">
        <v>0</v>
      </c>
      <c r="L96" s="4">
        <v>4.4000000000000004</v>
      </c>
      <c r="M96" s="4">
        <v>842439.67</v>
      </c>
      <c r="N96" s="4">
        <v>169983.63</v>
      </c>
      <c r="O96">
        <f>396109.2647+(1.143827975*E96)+(33.53435949*F96)</f>
        <v>818718.70080856502</v>
      </c>
      <c r="P96">
        <f>M96-O96</f>
        <v>23720.969191435026</v>
      </c>
    </row>
    <row r="97" spans="1:16">
      <c r="A97" s="4" t="s">
        <v>44</v>
      </c>
      <c r="B97" s="6">
        <v>45658</v>
      </c>
      <c r="C97" s="4" t="s">
        <v>24</v>
      </c>
      <c r="D97" s="4" t="s">
        <v>28</v>
      </c>
      <c r="E97" s="4">
        <v>50517.94</v>
      </c>
      <c r="F97" s="4">
        <v>7024</v>
      </c>
      <c r="G97" s="4">
        <v>2.9000000000000001E-2</v>
      </c>
      <c r="H97" s="4">
        <v>18</v>
      </c>
      <c r="I97" s="4">
        <v>79.2</v>
      </c>
      <c r="J97" s="4">
        <v>6.61</v>
      </c>
      <c r="K97" s="4">
        <v>1</v>
      </c>
      <c r="L97" s="4">
        <v>4.0999999999999996</v>
      </c>
      <c r="M97" s="4">
        <v>711213.46</v>
      </c>
      <c r="N97" s="4">
        <v>105863.26</v>
      </c>
      <c r="O97">
        <f>396109.2647+(1.143827975*E97)+(33.53435949*F97)</f>
        <v>689438.43876913143</v>
      </c>
      <c r="P97">
        <f>M97-O97</f>
        <v>21775.02123086853</v>
      </c>
    </row>
    <row r="98" spans="1:16">
      <c r="A98" s="4" t="s">
        <v>54</v>
      </c>
      <c r="B98" s="6">
        <v>45658</v>
      </c>
      <c r="C98" s="4" t="s">
        <v>15</v>
      </c>
      <c r="D98" s="4" t="s">
        <v>18</v>
      </c>
      <c r="E98" s="4">
        <v>66250.53</v>
      </c>
      <c r="F98" s="4">
        <v>10618</v>
      </c>
      <c r="G98" s="4">
        <v>0.14199999999999999</v>
      </c>
      <c r="H98" s="4">
        <v>27</v>
      </c>
      <c r="I98" s="4">
        <v>88.3</v>
      </c>
      <c r="J98" s="4">
        <v>1.1000000000000001</v>
      </c>
      <c r="K98" s="4">
        <v>1</v>
      </c>
      <c r="L98" s="4">
        <v>4.4000000000000004</v>
      </c>
      <c r="M98" s="4">
        <v>849018.3</v>
      </c>
      <c r="N98" s="4">
        <v>149035.13</v>
      </c>
      <c r="O98">
        <f>396109.2647+(1.143827975*E98)+(33.53435949*F98)</f>
        <v>827956.30333739682</v>
      </c>
      <c r="P98">
        <f>M98-O98</f>
        <v>21061.996662603226</v>
      </c>
    </row>
    <row r="99" spans="1:16">
      <c r="A99" s="4" t="s">
        <v>36</v>
      </c>
      <c r="B99" s="6">
        <v>45658</v>
      </c>
      <c r="C99" s="4" t="s">
        <v>15</v>
      </c>
      <c r="D99" s="4" t="s">
        <v>21</v>
      </c>
      <c r="E99" s="4">
        <v>19365.060000000001</v>
      </c>
      <c r="F99" s="4">
        <v>2378</v>
      </c>
      <c r="G99" s="4">
        <v>0</v>
      </c>
      <c r="H99" s="4">
        <v>12</v>
      </c>
      <c r="I99" s="4">
        <v>94.8</v>
      </c>
      <c r="J99" s="4">
        <v>0.2</v>
      </c>
      <c r="K99" s="4">
        <v>0</v>
      </c>
      <c r="L99" s="4">
        <v>3.5</v>
      </c>
      <c r="M99" s="4">
        <v>518049.26</v>
      </c>
      <c r="N99" s="4">
        <v>108592.49</v>
      </c>
      <c r="O99">
        <f>396109.2647+(1.143827975*E99)+(33.53435949*F99)</f>
        <v>498004.2689327735</v>
      </c>
      <c r="P99">
        <f>M99-O99</f>
        <v>20044.99106722651</v>
      </c>
    </row>
    <row r="100" spans="1:16">
      <c r="A100" s="4" t="s">
        <v>76</v>
      </c>
      <c r="B100" s="6">
        <v>45689</v>
      </c>
      <c r="C100" s="4" t="s">
        <v>20</v>
      </c>
      <c r="D100" s="4" t="s">
        <v>21</v>
      </c>
      <c r="E100" s="4">
        <v>33987.33</v>
      </c>
      <c r="F100" s="4">
        <v>5014</v>
      </c>
      <c r="G100" s="4">
        <v>0.246</v>
      </c>
      <c r="H100" s="4">
        <v>17</v>
      </c>
      <c r="I100" s="4">
        <v>94.3</v>
      </c>
      <c r="J100" s="4">
        <v>10.34</v>
      </c>
      <c r="K100" s="4">
        <v>0</v>
      </c>
      <c r="L100" s="4">
        <v>3.9</v>
      </c>
      <c r="M100" s="4">
        <v>622892.42000000004</v>
      </c>
      <c r="N100" s="4">
        <v>101032.52</v>
      </c>
      <c r="O100">
        <f>396109.2647+(1.143827975*E100)+(33.53435949*F100)</f>
        <v>603126.20203241683</v>
      </c>
      <c r="P100">
        <f>M100-O100</f>
        <v>19766.217967583216</v>
      </c>
    </row>
    <row r="101" spans="1:16">
      <c r="A101" s="4" t="s">
        <v>63</v>
      </c>
      <c r="B101" s="6">
        <v>45748</v>
      </c>
      <c r="C101" s="4" t="s">
        <v>20</v>
      </c>
      <c r="D101" s="4" t="s">
        <v>28</v>
      </c>
      <c r="E101" s="4">
        <v>78432.14</v>
      </c>
      <c r="F101" s="4">
        <v>9440</v>
      </c>
      <c r="G101" s="4">
        <v>0.126</v>
      </c>
      <c r="H101" s="4">
        <v>23</v>
      </c>
      <c r="I101" s="4">
        <v>89.2</v>
      </c>
      <c r="J101" s="4">
        <v>7.86</v>
      </c>
      <c r="K101" s="4">
        <v>0</v>
      </c>
      <c r="L101" s="4">
        <v>4.0999999999999996</v>
      </c>
      <c r="M101" s="4">
        <v>820729.29</v>
      </c>
      <c r="N101" s="4">
        <v>159325.47</v>
      </c>
      <c r="O101">
        <f>396109.2647+(1.143827975*E101)+(33.53435949*F101)</f>
        <v>802386.49415671639</v>
      </c>
      <c r="P101">
        <f>M101-O101</f>
        <v>18342.795843283646</v>
      </c>
    </row>
    <row r="102" spans="1:16">
      <c r="A102" s="4" t="s">
        <v>83</v>
      </c>
      <c r="B102" s="6">
        <v>45658</v>
      </c>
      <c r="C102" s="4" t="s">
        <v>15</v>
      </c>
      <c r="D102" s="4" t="s">
        <v>18</v>
      </c>
      <c r="E102" s="4">
        <v>76942.2</v>
      </c>
      <c r="F102" s="4">
        <v>8934</v>
      </c>
      <c r="G102" s="4">
        <v>8.4000000000000005E-2</v>
      </c>
      <c r="H102" s="4">
        <v>20</v>
      </c>
      <c r="I102" s="4">
        <v>91</v>
      </c>
      <c r="J102" s="4">
        <v>0.95</v>
      </c>
      <c r="K102" s="4">
        <v>0</v>
      </c>
      <c r="L102" s="4">
        <v>3.2</v>
      </c>
      <c r="M102" s="4">
        <v>802001.68</v>
      </c>
      <c r="N102" s="4">
        <v>159715.82</v>
      </c>
      <c r="O102">
        <f>396109.2647+(1.143827975*E102)+(33.53435949*F102)</f>
        <v>783713.87320170505</v>
      </c>
      <c r="P102">
        <f>M102-O102</f>
        <v>18287.806798295001</v>
      </c>
    </row>
    <row r="103" spans="1:16">
      <c r="A103" s="4" t="s">
        <v>76</v>
      </c>
      <c r="B103" s="6">
        <v>45658</v>
      </c>
      <c r="C103" s="4" t="s">
        <v>20</v>
      </c>
      <c r="D103" s="4" t="s">
        <v>21</v>
      </c>
      <c r="E103" s="4">
        <v>69180.539999999994</v>
      </c>
      <c r="F103" s="4">
        <v>5394</v>
      </c>
      <c r="G103" s="4">
        <v>0.126</v>
      </c>
      <c r="H103" s="4">
        <v>12</v>
      </c>
      <c r="I103" s="4">
        <v>82.9</v>
      </c>
      <c r="J103" s="4">
        <v>3.27</v>
      </c>
      <c r="K103" s="4">
        <v>0</v>
      </c>
      <c r="L103" s="4">
        <v>3.3</v>
      </c>
      <c r="M103" s="4">
        <v>674289.1</v>
      </c>
      <c r="N103" s="4">
        <v>117773.79</v>
      </c>
      <c r="O103">
        <f>396109.2647+(1.143827975*E103)+(33.53435949*F103)</f>
        <v>656124.23676666652</v>
      </c>
      <c r="P103">
        <f>M103-O103</f>
        <v>18164.863233333454</v>
      </c>
    </row>
    <row r="104" spans="1:16">
      <c r="A104" s="4" t="s">
        <v>38</v>
      </c>
      <c r="B104" s="6">
        <v>45748</v>
      </c>
      <c r="C104" s="4" t="s">
        <v>27</v>
      </c>
      <c r="D104" s="4" t="s">
        <v>18</v>
      </c>
      <c r="E104" s="4">
        <v>42018.400000000001</v>
      </c>
      <c r="F104" s="4">
        <v>8296</v>
      </c>
      <c r="G104" s="4">
        <v>0.115</v>
      </c>
      <c r="H104" s="4">
        <v>17</v>
      </c>
      <c r="I104" s="4">
        <v>91.8</v>
      </c>
      <c r="J104" s="4">
        <v>0.77</v>
      </c>
      <c r="K104" s="4">
        <v>0</v>
      </c>
      <c r="L104" s="4">
        <v>3.4</v>
      </c>
      <c r="M104" s="4">
        <v>740496.65</v>
      </c>
      <c r="N104" s="4">
        <v>128020.9</v>
      </c>
      <c r="O104">
        <f>396109.2647+(1.143827975*E104)+(33.53435949*F104)</f>
        <v>722372.13241378008</v>
      </c>
      <c r="P104">
        <f>M104-O104</f>
        <v>18124.517586219939</v>
      </c>
    </row>
    <row r="105" spans="1:16">
      <c r="A105" s="4" t="s">
        <v>48</v>
      </c>
      <c r="B105" s="6">
        <v>45658</v>
      </c>
      <c r="C105" s="4" t="s">
        <v>27</v>
      </c>
      <c r="D105" s="4" t="s">
        <v>18</v>
      </c>
      <c r="E105" s="4">
        <v>57919.07</v>
      </c>
      <c r="F105" s="4">
        <v>7374</v>
      </c>
      <c r="G105" s="4">
        <v>0.10299999999999999</v>
      </c>
      <c r="H105" s="4">
        <v>21</v>
      </c>
      <c r="I105" s="4">
        <v>82.3</v>
      </c>
      <c r="J105" s="4">
        <v>2.87</v>
      </c>
      <c r="K105" s="4">
        <v>0</v>
      </c>
      <c r="L105" s="4">
        <v>2.9</v>
      </c>
      <c r="M105" s="4">
        <v>727227.2</v>
      </c>
      <c r="N105" s="4">
        <v>121292.01</v>
      </c>
      <c r="O105">
        <f>396109.2647+(1.143827975*E105)+(33.53435949*F105)</f>
        <v>709641.08413124317</v>
      </c>
      <c r="P105">
        <f>M105-O105</f>
        <v>17586.11586875678</v>
      </c>
    </row>
    <row r="106" spans="1:16">
      <c r="A106" s="4" t="s">
        <v>88</v>
      </c>
      <c r="B106" s="6">
        <v>45717</v>
      </c>
      <c r="C106" s="4" t="s">
        <v>15</v>
      </c>
      <c r="D106" s="4" t="s">
        <v>18</v>
      </c>
      <c r="E106" s="4">
        <v>56602.39</v>
      </c>
      <c r="F106" s="4">
        <v>7969</v>
      </c>
      <c r="G106" s="4">
        <v>0.17</v>
      </c>
      <c r="H106" s="4">
        <v>21</v>
      </c>
      <c r="I106" s="4">
        <v>88.3</v>
      </c>
      <c r="J106" s="4">
        <v>2.25</v>
      </c>
      <c r="K106" s="4">
        <v>0</v>
      </c>
      <c r="L106" s="4">
        <v>3.7</v>
      </c>
      <c r="M106" s="4">
        <v>745580.51</v>
      </c>
      <c r="N106" s="4">
        <v>116273.68</v>
      </c>
      <c r="O106">
        <f>396109.2647+(1.143827975*E106)+(33.53435949*F106)</f>
        <v>728087.97260967025</v>
      </c>
      <c r="P106">
        <f>M106-O106</f>
        <v>17492.537390329759</v>
      </c>
    </row>
    <row r="107" spans="1:16">
      <c r="A107" s="4" t="s">
        <v>56</v>
      </c>
      <c r="B107" s="6">
        <v>45748</v>
      </c>
      <c r="C107" s="4" t="s">
        <v>24</v>
      </c>
      <c r="D107" s="4" t="s">
        <v>16</v>
      </c>
      <c r="E107" s="4">
        <v>44211.95</v>
      </c>
      <c r="F107" s="4">
        <v>5465</v>
      </c>
      <c r="G107" s="4">
        <v>0.187</v>
      </c>
      <c r="H107" s="4">
        <v>12</v>
      </c>
      <c r="I107" s="4">
        <v>90</v>
      </c>
      <c r="J107" s="4">
        <v>2.89</v>
      </c>
      <c r="K107" s="4">
        <v>0</v>
      </c>
      <c r="L107" s="4">
        <v>3.6</v>
      </c>
      <c r="M107" s="4">
        <v>646559.71</v>
      </c>
      <c r="N107" s="4">
        <v>97981.75</v>
      </c>
      <c r="O107">
        <f>396109.2647+(1.143827975*E107)+(33.53435949*F107)</f>
        <v>629945.40455215122</v>
      </c>
      <c r="P107">
        <f>M107-O107</f>
        <v>16614.305447848747</v>
      </c>
    </row>
    <row r="108" spans="1:16">
      <c r="A108" s="4" t="s">
        <v>65</v>
      </c>
      <c r="B108" s="6">
        <v>45658</v>
      </c>
      <c r="C108" s="4" t="s">
        <v>15</v>
      </c>
      <c r="D108" s="4" t="s">
        <v>16</v>
      </c>
      <c r="E108" s="4">
        <v>65237.79</v>
      </c>
      <c r="F108" s="4">
        <v>8741</v>
      </c>
      <c r="G108" s="4">
        <v>0.157</v>
      </c>
      <c r="H108" s="4">
        <v>20</v>
      </c>
      <c r="I108" s="4">
        <v>94.4</v>
      </c>
      <c r="J108" s="4">
        <v>6.43</v>
      </c>
      <c r="K108" s="4">
        <v>0</v>
      </c>
      <c r="L108" s="4">
        <v>3.3</v>
      </c>
      <c r="M108" s="4">
        <v>780344.18</v>
      </c>
      <c r="N108" s="4">
        <v>118239.09</v>
      </c>
      <c r="O108">
        <f>396109.2647+(1.143827975*E108)+(33.53435949*F108)</f>
        <v>763853.91023126524</v>
      </c>
      <c r="P108">
        <f>M108-O108</f>
        <v>16490.269768734812</v>
      </c>
    </row>
    <row r="109" spans="1:16">
      <c r="A109" s="4" t="s">
        <v>62</v>
      </c>
      <c r="B109" s="6">
        <v>45748</v>
      </c>
      <c r="C109" s="4" t="s">
        <v>24</v>
      </c>
      <c r="D109" s="4" t="s">
        <v>18</v>
      </c>
      <c r="E109" s="4">
        <v>66870.62</v>
      </c>
      <c r="F109" s="4">
        <v>6055</v>
      </c>
      <c r="G109" s="4">
        <v>7.4999999999999997E-2</v>
      </c>
      <c r="H109" s="4">
        <v>19</v>
      </c>
      <c r="I109" s="4">
        <v>93.8</v>
      </c>
      <c r="J109" s="4">
        <v>0.54</v>
      </c>
      <c r="K109" s="4">
        <v>0</v>
      </c>
      <c r="L109" s="4">
        <v>4.3</v>
      </c>
      <c r="M109" s="4">
        <v>692008.64</v>
      </c>
      <c r="N109" s="4">
        <v>116337.87</v>
      </c>
      <c r="O109">
        <f>396109.2647+(1.143827975*E109)+(33.53435949*F109)</f>
        <v>675648.29727354448</v>
      </c>
      <c r="P109">
        <f>M109-O109</f>
        <v>16360.342726455536</v>
      </c>
    </row>
    <row r="110" spans="1:16">
      <c r="A110" s="4" t="s">
        <v>55</v>
      </c>
      <c r="B110" s="6">
        <v>45717</v>
      </c>
      <c r="C110" s="4" t="s">
        <v>20</v>
      </c>
      <c r="D110" s="4" t="s">
        <v>18</v>
      </c>
      <c r="E110" s="4">
        <v>52285.45</v>
      </c>
      <c r="F110" s="4">
        <v>3618</v>
      </c>
      <c r="G110" s="4">
        <v>8.5999999999999993E-2</v>
      </c>
      <c r="H110" s="4">
        <v>11</v>
      </c>
      <c r="I110" s="4">
        <v>95.6</v>
      </c>
      <c r="J110" s="4">
        <v>5.17</v>
      </c>
      <c r="K110" s="4">
        <v>1</v>
      </c>
      <c r="L110" s="4">
        <v>4.4000000000000004</v>
      </c>
      <c r="M110" s="4">
        <v>593247.25</v>
      </c>
      <c r="N110" s="4">
        <v>81240.289999999994</v>
      </c>
      <c r="O110">
        <f>396109.2647+(1.143827975*E110)+(33.53435949*F110)</f>
        <v>577242.13773028378</v>
      </c>
      <c r="P110">
        <f>M110-O110</f>
        <v>16005.112269716221</v>
      </c>
    </row>
    <row r="111" spans="1:16">
      <c r="A111" s="4" t="s">
        <v>22</v>
      </c>
      <c r="B111" s="6">
        <v>45658</v>
      </c>
      <c r="C111" s="4" t="s">
        <v>15</v>
      </c>
      <c r="D111" s="4" t="s">
        <v>16</v>
      </c>
      <c r="E111" s="4">
        <v>71828.259999999995</v>
      </c>
      <c r="F111" s="4">
        <v>12775</v>
      </c>
      <c r="G111" s="4">
        <v>0.11600000000000001</v>
      </c>
      <c r="H111" s="4">
        <v>30</v>
      </c>
      <c r="I111" s="4">
        <v>81.7</v>
      </c>
      <c r="J111" s="4">
        <v>4.24</v>
      </c>
      <c r="K111" s="4">
        <v>1</v>
      </c>
      <c r="L111" s="4">
        <v>4.2</v>
      </c>
      <c r="M111" s="4">
        <v>922168.6</v>
      </c>
      <c r="N111" s="4">
        <v>107494.53</v>
      </c>
      <c r="O111">
        <f>396109.2647+(1.143827975*E111)+(33.53435949*F111)</f>
        <v>906669.88036832353</v>
      </c>
      <c r="P111">
        <f>M111-O111</f>
        <v>15498.719631676446</v>
      </c>
    </row>
    <row r="112" spans="1:16">
      <c r="A112" s="4" t="s">
        <v>64</v>
      </c>
      <c r="B112" s="6">
        <v>45717</v>
      </c>
      <c r="C112" s="4" t="s">
        <v>15</v>
      </c>
      <c r="D112" s="4" t="s">
        <v>16</v>
      </c>
      <c r="E112" s="4">
        <v>50825.08</v>
      </c>
      <c r="F112" s="4">
        <v>8949</v>
      </c>
      <c r="G112" s="4">
        <v>0.157</v>
      </c>
      <c r="H112" s="4">
        <v>21</v>
      </c>
      <c r="I112" s="4">
        <v>84.7</v>
      </c>
      <c r="J112" s="4">
        <v>7.73</v>
      </c>
      <c r="K112" s="4">
        <v>0</v>
      </c>
      <c r="L112" s="4">
        <v>4.9000000000000004</v>
      </c>
      <c r="M112" s="4">
        <v>769702.76</v>
      </c>
      <c r="N112" s="4">
        <v>158697</v>
      </c>
      <c r="O112">
        <f>396109.2647+(1.143827975*E112)+(33.53435949*F112)</f>
        <v>754343.39611162303</v>
      </c>
      <c r="P112">
        <f>M112-O112</f>
        <v>15359.363888376975</v>
      </c>
    </row>
    <row r="113" spans="1:16">
      <c r="A113" s="4" t="s">
        <v>88</v>
      </c>
      <c r="B113" s="6">
        <v>45689</v>
      </c>
      <c r="C113" s="4" t="s">
        <v>15</v>
      </c>
      <c r="D113" s="4" t="s">
        <v>18</v>
      </c>
      <c r="E113" s="4">
        <v>73454.539999999994</v>
      </c>
      <c r="F113" s="4">
        <v>8129</v>
      </c>
      <c r="G113" s="4">
        <v>0.21099999999999999</v>
      </c>
      <c r="H113" s="4">
        <v>20</v>
      </c>
      <c r="I113" s="4">
        <v>85.2</v>
      </c>
      <c r="J113" s="4">
        <v>0.88</v>
      </c>
      <c r="K113" s="4">
        <v>0</v>
      </c>
      <c r="L113" s="4">
        <v>3.7</v>
      </c>
      <c r="M113" s="4">
        <v>767792.94</v>
      </c>
      <c r="N113" s="4">
        <v>96235.77</v>
      </c>
      <c r="O113">
        <f>396109.2647+(1.143827975*E113)+(33.53435949*F113)</f>
        <v>752729.43073696643</v>
      </c>
      <c r="P113">
        <f>M113-O113</f>
        <v>15063.509263033513</v>
      </c>
    </row>
    <row r="114" spans="1:16">
      <c r="A114" s="4" t="s">
        <v>86</v>
      </c>
      <c r="B114" s="6">
        <v>45689</v>
      </c>
      <c r="C114" s="4" t="s">
        <v>24</v>
      </c>
      <c r="D114" s="4" t="s">
        <v>28</v>
      </c>
      <c r="E114" s="4">
        <v>28670.43</v>
      </c>
      <c r="F114" s="4">
        <v>7574</v>
      </c>
      <c r="G114" s="4">
        <v>0.114</v>
      </c>
      <c r="H114" s="4">
        <v>19</v>
      </c>
      <c r="I114" s="4">
        <v>82.7</v>
      </c>
      <c r="J114" s="4">
        <v>2.74</v>
      </c>
      <c r="K114" s="4">
        <v>0</v>
      </c>
      <c r="L114" s="4">
        <v>4.5999999999999996</v>
      </c>
      <c r="M114" s="4">
        <v>697888.09</v>
      </c>
      <c r="N114" s="4">
        <v>116249.87</v>
      </c>
      <c r="O114">
        <f>396109.2647+(1.143827975*E114)+(33.53435949*F114)</f>
        <v>682892.54336653929</v>
      </c>
      <c r="P114">
        <f>M114-O114</f>
        <v>14995.546633460675</v>
      </c>
    </row>
    <row r="115" spans="1:16">
      <c r="A115" s="4" t="s">
        <v>51</v>
      </c>
      <c r="B115" s="6">
        <v>45748</v>
      </c>
      <c r="C115" s="4" t="s">
        <v>27</v>
      </c>
      <c r="D115" s="4" t="s">
        <v>16</v>
      </c>
      <c r="E115" s="4">
        <v>54968.98</v>
      </c>
      <c r="F115" s="4">
        <v>7816</v>
      </c>
      <c r="G115" s="4">
        <v>0.23200000000000001</v>
      </c>
      <c r="H115" s="4">
        <v>19</v>
      </c>
      <c r="I115" s="4">
        <v>95.7</v>
      </c>
      <c r="J115" s="4">
        <v>7.85</v>
      </c>
      <c r="K115" s="4">
        <v>0</v>
      </c>
      <c r="L115" s="4">
        <v>4.7</v>
      </c>
      <c r="M115" s="4">
        <v>735480.19</v>
      </c>
      <c r="N115" s="4">
        <v>88342.11</v>
      </c>
      <c r="O115">
        <f>396109.2647+(1.143827975*E115)+(33.53435949*F115)</f>
        <v>721088.87555505545</v>
      </c>
      <c r="P115">
        <f>M115-O115</f>
        <v>14391.314444944495</v>
      </c>
    </row>
    <row r="116" spans="1:16">
      <c r="A116" s="4" t="s">
        <v>87</v>
      </c>
      <c r="B116" s="6">
        <v>45658</v>
      </c>
      <c r="C116" s="4" t="s">
        <v>27</v>
      </c>
      <c r="D116" s="4" t="s">
        <v>18</v>
      </c>
      <c r="E116" s="4">
        <v>14519.37</v>
      </c>
      <c r="F116" s="4">
        <v>3047</v>
      </c>
      <c r="G116" s="4">
        <v>0.13500000000000001</v>
      </c>
      <c r="H116" s="4">
        <v>10</v>
      </c>
      <c r="I116" s="4">
        <v>90.3</v>
      </c>
      <c r="J116" s="4">
        <v>6.62</v>
      </c>
      <c r="K116" s="4">
        <v>0</v>
      </c>
      <c r="L116" s="4">
        <v>4.2</v>
      </c>
      <c r="M116" s="4">
        <v>528852.62</v>
      </c>
      <c r="N116" s="4">
        <v>68426.210000000006</v>
      </c>
      <c r="O116">
        <f>396109.2647+(1.143827975*E116)+(33.53435949*F116)</f>
        <v>514896.11965140572</v>
      </c>
      <c r="P116">
        <f>M116-O116</f>
        <v>13956.500348594273</v>
      </c>
    </row>
    <row r="117" spans="1:16">
      <c r="A117" s="4" t="s">
        <v>69</v>
      </c>
      <c r="B117" s="6">
        <v>45689</v>
      </c>
      <c r="C117" s="4" t="s">
        <v>15</v>
      </c>
      <c r="D117" s="4" t="s">
        <v>18</v>
      </c>
      <c r="E117" s="4">
        <v>55788.61</v>
      </c>
      <c r="F117" s="4">
        <v>2312</v>
      </c>
      <c r="G117" s="4">
        <v>5.8000000000000003E-2</v>
      </c>
      <c r="H117" s="4">
        <v>10</v>
      </c>
      <c r="I117" s="4">
        <v>91.3</v>
      </c>
      <c r="J117" s="4">
        <v>1.99</v>
      </c>
      <c r="K117" s="4">
        <v>0</v>
      </c>
      <c r="L117" s="4">
        <v>3.8</v>
      </c>
      <c r="M117" s="4">
        <v>550962.93000000005</v>
      </c>
      <c r="N117" s="4">
        <v>97144.58</v>
      </c>
      <c r="O117">
        <f>396109.2647+(1.143827975*E117)+(33.53435949*F117)</f>
        <v>537453.2766452448</v>
      </c>
      <c r="P117">
        <f>M117-O117</f>
        <v>13509.653354755254</v>
      </c>
    </row>
    <row r="118" spans="1:16">
      <c r="A118" s="4" t="s">
        <v>82</v>
      </c>
      <c r="B118" s="6">
        <v>45717</v>
      </c>
      <c r="C118" s="4" t="s">
        <v>24</v>
      </c>
      <c r="D118" s="4" t="s">
        <v>21</v>
      </c>
      <c r="E118" s="4">
        <v>70799.64</v>
      </c>
      <c r="F118" s="4">
        <v>10076</v>
      </c>
      <c r="G118" s="4">
        <v>0.152</v>
      </c>
      <c r="H118" s="4">
        <v>24</v>
      </c>
      <c r="I118" s="4">
        <v>84.8</v>
      </c>
      <c r="J118" s="4">
        <v>1.87</v>
      </c>
      <c r="K118" s="4">
        <v>0</v>
      </c>
      <c r="L118" s="4">
        <v>3.5</v>
      </c>
      <c r="M118" s="4">
        <v>828219.67</v>
      </c>
      <c r="N118" s="4">
        <v>179806.87</v>
      </c>
      <c r="O118">
        <f>396109.2647+(1.143827975*E118)+(33.53435949*F118)</f>
        <v>814984.07977316901</v>
      </c>
      <c r="P118">
        <f>M118-O118</f>
        <v>13235.590226831031</v>
      </c>
    </row>
    <row r="119" spans="1:16">
      <c r="A119" s="4" t="s">
        <v>80</v>
      </c>
      <c r="B119" s="6">
        <v>45748</v>
      </c>
      <c r="C119" s="4" t="s">
        <v>27</v>
      </c>
      <c r="D119" s="4" t="s">
        <v>16</v>
      </c>
      <c r="E119" s="4">
        <v>47944.14</v>
      </c>
      <c r="F119" s="4">
        <v>6169</v>
      </c>
      <c r="G119" s="4">
        <v>0.11899999999999999</v>
      </c>
      <c r="H119" s="4">
        <v>17</v>
      </c>
      <c r="I119" s="4">
        <v>92.2</v>
      </c>
      <c r="J119" s="4">
        <v>3.02</v>
      </c>
      <c r="K119" s="4">
        <v>0</v>
      </c>
      <c r="L119" s="4">
        <v>4.0999999999999996</v>
      </c>
      <c r="M119" s="4">
        <v>670629.48</v>
      </c>
      <c r="N119" s="4">
        <v>100140.8</v>
      </c>
      <c r="O119">
        <f>396109.2647+(1.143827975*E119)+(33.53435949*F119)</f>
        <v>657822.57696312643</v>
      </c>
      <c r="P119">
        <f>M119-O119</f>
        <v>12806.903036873555</v>
      </c>
    </row>
    <row r="120" spans="1:16">
      <c r="A120" s="4" t="s">
        <v>32</v>
      </c>
      <c r="B120" s="6">
        <v>45748</v>
      </c>
      <c r="C120" s="4" t="s">
        <v>15</v>
      </c>
      <c r="D120" s="4" t="s">
        <v>28</v>
      </c>
      <c r="E120" s="4">
        <v>64882.14</v>
      </c>
      <c r="F120" s="4">
        <v>3642</v>
      </c>
      <c r="G120" s="4">
        <v>1.9E-2</v>
      </c>
      <c r="H120" s="4">
        <v>13</v>
      </c>
      <c r="I120" s="4">
        <v>87.8</v>
      </c>
      <c r="J120" s="4">
        <v>4.5199999999999996</v>
      </c>
      <c r="K120" s="4">
        <v>0</v>
      </c>
      <c r="L120" s="4">
        <v>4.2</v>
      </c>
      <c r="M120" s="4">
        <v>605178</v>
      </c>
      <c r="N120" s="4">
        <v>106958.74</v>
      </c>
      <c r="O120">
        <f>396109.2647+(1.143827975*E120)+(33.53435949*F120)</f>
        <v>592455.40877244645</v>
      </c>
      <c r="P120">
        <f>M120-O120</f>
        <v>12722.591227553552</v>
      </c>
    </row>
    <row r="121" spans="1:16">
      <c r="A121" s="4" t="s">
        <v>95</v>
      </c>
      <c r="B121" s="6">
        <v>45689</v>
      </c>
      <c r="C121" s="4" t="s">
        <v>27</v>
      </c>
      <c r="D121" s="4" t="s">
        <v>18</v>
      </c>
      <c r="E121" s="4">
        <v>40102.879999999997</v>
      </c>
      <c r="F121" s="4">
        <v>2358</v>
      </c>
      <c r="G121" s="4">
        <v>0.11899999999999999</v>
      </c>
      <c r="H121" s="4">
        <v>9</v>
      </c>
      <c r="I121" s="4">
        <v>88.7</v>
      </c>
      <c r="J121" s="4">
        <v>1.6</v>
      </c>
      <c r="K121" s="4">
        <v>0</v>
      </c>
      <c r="L121" s="4">
        <v>4.2</v>
      </c>
      <c r="M121" s="4">
        <v>533121.26</v>
      </c>
      <c r="N121" s="4">
        <v>55063.39</v>
      </c>
      <c r="O121">
        <f>396109.2647+(1.143827975*E121)+(33.53435949*F121)</f>
        <v>521054.08039948798</v>
      </c>
      <c r="P121">
        <f>M121-O121</f>
        <v>12067.179600512027</v>
      </c>
    </row>
    <row r="122" spans="1:16">
      <c r="A122" s="4" t="s">
        <v>26</v>
      </c>
      <c r="B122" s="6">
        <v>45717</v>
      </c>
      <c r="C122" s="4" t="s">
        <v>27</v>
      </c>
      <c r="D122" s="4" t="s">
        <v>28</v>
      </c>
      <c r="E122" s="4">
        <v>55270.52</v>
      </c>
      <c r="F122" s="4">
        <v>9315</v>
      </c>
      <c r="G122" s="4">
        <v>0.16900000000000001</v>
      </c>
      <c r="H122" s="4">
        <v>23</v>
      </c>
      <c r="I122" s="4">
        <v>91.9</v>
      </c>
      <c r="J122" s="4">
        <v>4.9400000000000004</v>
      </c>
      <c r="K122" s="4">
        <v>0</v>
      </c>
      <c r="L122" s="4">
        <v>4</v>
      </c>
      <c r="M122" s="4">
        <v>783672.82</v>
      </c>
      <c r="N122" s="4">
        <v>112577.14</v>
      </c>
      <c r="O122">
        <f>396109.2647+(1.143827975*E122)+(33.53435949*F122)</f>
        <v>771701.79031814705</v>
      </c>
      <c r="P122">
        <f>M122-O122</f>
        <v>11971.029681852902</v>
      </c>
    </row>
    <row r="123" spans="1:16">
      <c r="A123" s="4" t="s">
        <v>42</v>
      </c>
      <c r="B123" s="6">
        <v>45748</v>
      </c>
      <c r="C123" s="4" t="s">
        <v>27</v>
      </c>
      <c r="D123" s="4" t="s">
        <v>28</v>
      </c>
      <c r="E123" s="4">
        <v>36475.71</v>
      </c>
      <c r="F123" s="4">
        <v>3559</v>
      </c>
      <c r="G123" s="4">
        <v>0.03</v>
      </c>
      <c r="H123" s="4">
        <v>8</v>
      </c>
      <c r="I123" s="4">
        <v>83.6</v>
      </c>
      <c r="J123" s="4">
        <v>1.41</v>
      </c>
      <c r="K123" s="4">
        <v>0</v>
      </c>
      <c r="L123" s="4">
        <v>4.2</v>
      </c>
      <c r="M123" s="4">
        <v>569100.78</v>
      </c>
      <c r="N123" s="4">
        <v>104808.78</v>
      </c>
      <c r="O123">
        <f>396109.2647+(1.143827975*E123)+(33.53435949*F123)</f>
        <v>557179.9876308972</v>
      </c>
      <c r="P123">
        <f>M123-O123</f>
        <v>11920.792369102826</v>
      </c>
    </row>
    <row r="124" spans="1:16">
      <c r="A124" s="4" t="s">
        <v>47</v>
      </c>
      <c r="B124" s="6">
        <v>45717</v>
      </c>
      <c r="C124" s="4" t="s">
        <v>15</v>
      </c>
      <c r="D124" s="4" t="s">
        <v>28</v>
      </c>
      <c r="E124" s="4">
        <v>90084.4</v>
      </c>
      <c r="F124" s="4">
        <v>6832</v>
      </c>
      <c r="G124" s="4">
        <v>0.185</v>
      </c>
      <c r="H124" s="4">
        <v>14</v>
      </c>
      <c r="I124" s="4">
        <v>80.5</v>
      </c>
      <c r="J124" s="4">
        <v>0.77</v>
      </c>
      <c r="K124" s="4">
        <v>1</v>
      </c>
      <c r="L124" s="4">
        <v>4.4000000000000004</v>
      </c>
      <c r="M124" s="4">
        <v>740102.64</v>
      </c>
      <c r="N124" s="4">
        <v>114299.07</v>
      </c>
      <c r="O124">
        <f>396109.2647+(1.143827975*E124)+(33.53435949*F124)</f>
        <v>728257.06556677003</v>
      </c>
      <c r="P124">
        <f>M124-O124</f>
        <v>11845.57443322998</v>
      </c>
    </row>
    <row r="125" spans="1:16">
      <c r="A125" s="4" t="s">
        <v>50</v>
      </c>
      <c r="B125" s="6">
        <v>45658</v>
      </c>
      <c r="C125" s="4" t="s">
        <v>27</v>
      </c>
      <c r="D125" s="4" t="s">
        <v>28</v>
      </c>
      <c r="E125" s="4">
        <v>61426.04</v>
      </c>
      <c r="F125" s="4">
        <v>8966</v>
      </c>
      <c r="G125" s="4">
        <v>0.17299999999999999</v>
      </c>
      <c r="H125" s="4">
        <v>22</v>
      </c>
      <c r="I125" s="4">
        <v>76.400000000000006</v>
      </c>
      <c r="J125" s="4">
        <v>1.05</v>
      </c>
      <c r="K125" s="4">
        <v>0</v>
      </c>
      <c r="L125" s="4">
        <v>3.1</v>
      </c>
      <c r="M125" s="4">
        <v>778397.97</v>
      </c>
      <c r="N125" s="4">
        <v>120044.41</v>
      </c>
      <c r="O125">
        <f>396109.2647+(1.143827975*E125)+(33.53435949*F125)</f>
        <v>767039.154832809</v>
      </c>
      <c r="P125">
        <f>M125-O125</f>
        <v>11358.815167190973</v>
      </c>
    </row>
    <row r="126" spans="1:16">
      <c r="A126" s="4" t="s">
        <v>43</v>
      </c>
      <c r="B126" s="6">
        <v>45658</v>
      </c>
      <c r="C126" s="4" t="s">
        <v>27</v>
      </c>
      <c r="D126" s="4" t="s">
        <v>18</v>
      </c>
      <c r="E126" s="4">
        <v>55388.11</v>
      </c>
      <c r="F126" s="4">
        <v>3091</v>
      </c>
      <c r="G126" s="4">
        <v>0.108</v>
      </c>
      <c r="H126" s="4">
        <v>7</v>
      </c>
      <c r="I126" s="4">
        <v>85.4</v>
      </c>
      <c r="J126" s="4">
        <v>7.34</v>
      </c>
      <c r="K126" s="4">
        <v>0</v>
      </c>
      <c r="L126" s="4">
        <v>4.9000000000000004</v>
      </c>
      <c r="M126" s="4">
        <v>574436.29</v>
      </c>
      <c r="N126" s="4">
        <v>80271.990000000005</v>
      </c>
      <c r="O126">
        <f>396109.2647+(1.143827975*E126)+(33.53435949*F126)</f>
        <v>563118.43958396721</v>
      </c>
      <c r="P126">
        <f>M126-O126</f>
        <v>11317.85041603283</v>
      </c>
    </row>
    <row r="127" spans="1:16">
      <c r="A127" s="4" t="s">
        <v>25</v>
      </c>
      <c r="B127" s="6">
        <v>45748</v>
      </c>
      <c r="C127" s="4" t="s">
        <v>20</v>
      </c>
      <c r="D127" s="4" t="s">
        <v>16</v>
      </c>
      <c r="E127" s="4">
        <v>62060.43</v>
      </c>
      <c r="F127" s="4">
        <v>2613</v>
      </c>
      <c r="G127" s="4">
        <v>0.216</v>
      </c>
      <c r="H127" s="4">
        <v>12</v>
      </c>
      <c r="I127" s="4">
        <v>92.1</v>
      </c>
      <c r="J127" s="4">
        <v>1.55</v>
      </c>
      <c r="K127" s="4">
        <v>0</v>
      </c>
      <c r="L127" s="4">
        <v>4.7</v>
      </c>
      <c r="M127" s="4">
        <v>565810.99</v>
      </c>
      <c r="N127" s="4">
        <v>77825.460000000006</v>
      </c>
      <c r="O127">
        <f>396109.2647+(1.143827975*E127)+(33.53435949*F127)</f>
        <v>554721.00202189921</v>
      </c>
      <c r="P127">
        <f>M127-O127</f>
        <v>11089.987978100777</v>
      </c>
    </row>
    <row r="128" spans="1:16">
      <c r="A128" s="4" t="s">
        <v>96</v>
      </c>
      <c r="B128" s="6">
        <v>45658</v>
      </c>
      <c r="C128" s="4" t="s">
        <v>27</v>
      </c>
      <c r="D128" s="4" t="s">
        <v>18</v>
      </c>
      <c r="E128" s="4">
        <v>55599.56</v>
      </c>
      <c r="F128" s="4">
        <v>5896</v>
      </c>
      <c r="G128" s="4">
        <v>3.5999999999999997E-2</v>
      </c>
      <c r="H128" s="4">
        <v>12</v>
      </c>
      <c r="I128" s="4">
        <v>93.1</v>
      </c>
      <c r="J128" s="4">
        <v>6.13</v>
      </c>
      <c r="K128" s="4">
        <v>0</v>
      </c>
      <c r="L128" s="4">
        <v>3.3</v>
      </c>
      <c r="M128" s="4">
        <v>668459.37</v>
      </c>
      <c r="N128" s="4">
        <v>126435.42</v>
      </c>
      <c r="O128">
        <f>396109.2647+(1.143827975*E128)+(33.53435949*F128)</f>
        <v>657424.18037873099</v>
      </c>
      <c r="P128">
        <f>M128-O128</f>
        <v>11035.189621269004</v>
      </c>
    </row>
    <row r="129" spans="1:16">
      <c r="A129" s="4" t="s">
        <v>93</v>
      </c>
      <c r="B129" s="6">
        <v>45717</v>
      </c>
      <c r="C129" s="4" t="s">
        <v>27</v>
      </c>
      <c r="D129" s="4" t="s">
        <v>16</v>
      </c>
      <c r="E129" s="4">
        <v>55371.97</v>
      </c>
      <c r="F129" s="4">
        <v>4162</v>
      </c>
      <c r="G129" s="4">
        <v>0.183</v>
      </c>
      <c r="H129" s="4">
        <v>11</v>
      </c>
      <c r="I129" s="4">
        <v>92</v>
      </c>
      <c r="J129" s="4">
        <v>0.2</v>
      </c>
      <c r="K129" s="4">
        <v>1</v>
      </c>
      <c r="L129" s="4">
        <v>4.2</v>
      </c>
      <c r="M129" s="4">
        <v>609949</v>
      </c>
      <c r="N129" s="4">
        <v>126789.25</v>
      </c>
      <c r="O129">
        <f>396109.2647+(1.143827975*E129)+(33.53435949*F129)</f>
        <v>599015.27721424075</v>
      </c>
      <c r="P129">
        <f>M129-O129</f>
        <v>10933.722785759252</v>
      </c>
    </row>
    <row r="130" spans="1:16">
      <c r="A130" s="4" t="s">
        <v>46</v>
      </c>
      <c r="B130" s="6">
        <v>45658</v>
      </c>
      <c r="C130" s="4" t="s">
        <v>27</v>
      </c>
      <c r="D130" s="4" t="s">
        <v>28</v>
      </c>
      <c r="E130" s="4">
        <v>61132.07</v>
      </c>
      <c r="F130" s="4">
        <v>6394</v>
      </c>
      <c r="G130" s="4">
        <v>0.16300000000000001</v>
      </c>
      <c r="H130" s="4">
        <v>19</v>
      </c>
      <c r="I130" s="4">
        <v>91</v>
      </c>
      <c r="J130" s="4">
        <v>19.600000000000001</v>
      </c>
      <c r="K130" s="4">
        <v>0</v>
      </c>
      <c r="L130" s="4">
        <v>4.4000000000000004</v>
      </c>
      <c r="M130" s="4">
        <v>691113.62</v>
      </c>
      <c r="N130" s="4">
        <v>135145.44</v>
      </c>
      <c r="O130">
        <f>396109.2647+(1.143827975*E130)+(33.53435949*F130)</f>
        <v>680452.53111471818</v>
      </c>
      <c r="P130">
        <f>M130-O130</f>
        <v>10661.088885281817</v>
      </c>
    </row>
    <row r="131" spans="1:16">
      <c r="A131" s="4" t="s">
        <v>77</v>
      </c>
      <c r="B131" s="6">
        <v>45658</v>
      </c>
      <c r="C131" s="4" t="s">
        <v>15</v>
      </c>
      <c r="D131" s="4" t="s">
        <v>18</v>
      </c>
      <c r="E131" s="4">
        <v>53367.73</v>
      </c>
      <c r="F131" s="4">
        <v>7291</v>
      </c>
      <c r="G131" s="4">
        <v>0.14599999999999999</v>
      </c>
      <c r="H131" s="4">
        <v>18</v>
      </c>
      <c r="I131" s="4">
        <v>90.6</v>
      </c>
      <c r="J131" s="4">
        <v>6.34</v>
      </c>
      <c r="K131" s="4">
        <v>1</v>
      </c>
      <c r="L131" s="4">
        <v>3.8</v>
      </c>
      <c r="M131" s="4">
        <v>712219.81</v>
      </c>
      <c r="N131" s="4">
        <v>85906.54</v>
      </c>
      <c r="O131">
        <f>396109.2647+(1.143827975*E131)+(33.53435949*F131)</f>
        <v>701651.7822778367</v>
      </c>
      <c r="P131">
        <f>M131-O131</f>
        <v>10568.027722163359</v>
      </c>
    </row>
    <row r="132" spans="1:16">
      <c r="A132" s="4" t="s">
        <v>75</v>
      </c>
      <c r="B132" s="6">
        <v>45748</v>
      </c>
      <c r="C132" s="4" t="s">
        <v>27</v>
      </c>
      <c r="D132" s="4" t="s">
        <v>16</v>
      </c>
      <c r="E132" s="4">
        <v>47391.09</v>
      </c>
      <c r="F132" s="4">
        <v>11224</v>
      </c>
      <c r="G132" s="4">
        <v>0.14699999999999999</v>
      </c>
      <c r="H132" s="4">
        <v>25</v>
      </c>
      <c r="I132" s="4">
        <v>88.4</v>
      </c>
      <c r="J132" s="4">
        <v>2.44</v>
      </c>
      <c r="K132" s="4">
        <v>0</v>
      </c>
      <c r="L132" s="4">
        <v>4.9000000000000004</v>
      </c>
      <c r="M132" s="4">
        <v>836908.24</v>
      </c>
      <c r="N132" s="4">
        <v>141090.26</v>
      </c>
      <c r="O132">
        <f>396109.2647+(1.143827975*E132)+(33.53435949*F132)</f>
        <v>826706.17012350284</v>
      </c>
      <c r="P132">
        <f>M132-O132</f>
        <v>10202.069876497146</v>
      </c>
    </row>
    <row r="133" spans="1:16">
      <c r="A133" s="4" t="s">
        <v>86</v>
      </c>
      <c r="B133" s="6">
        <v>45717</v>
      </c>
      <c r="C133" s="4" t="s">
        <v>24</v>
      </c>
      <c r="D133" s="4" t="s">
        <v>28</v>
      </c>
      <c r="E133" s="4">
        <v>44189.34</v>
      </c>
      <c r="F133" s="4">
        <v>8634</v>
      </c>
      <c r="G133" s="4">
        <v>0.14299999999999999</v>
      </c>
      <c r="H133" s="4">
        <v>19</v>
      </c>
      <c r="I133" s="4">
        <v>87.5</v>
      </c>
      <c r="J133" s="4">
        <v>3.69</v>
      </c>
      <c r="K133" s="4">
        <v>0</v>
      </c>
      <c r="L133" s="4">
        <v>4.4000000000000004</v>
      </c>
      <c r="M133" s="4">
        <v>746115.59</v>
      </c>
      <c r="N133" s="4">
        <v>94662.96</v>
      </c>
      <c r="O133">
        <f>396109.2647+(1.143827975*E133)+(33.53435949*F133)</f>
        <v>736189.92782544647</v>
      </c>
      <c r="P133">
        <f>M133-O133</f>
        <v>9925.662174553494</v>
      </c>
    </row>
    <row r="134" spans="1:16">
      <c r="A134" s="4" t="s">
        <v>78</v>
      </c>
      <c r="B134" s="6">
        <v>45658</v>
      </c>
      <c r="C134" s="4" t="s">
        <v>15</v>
      </c>
      <c r="D134" s="4" t="s">
        <v>28</v>
      </c>
      <c r="E134" s="4">
        <v>68212.289999999994</v>
      </c>
      <c r="F134" s="4">
        <v>4713</v>
      </c>
      <c r="G134" s="4">
        <v>0.19800000000000001</v>
      </c>
      <c r="H134" s="4">
        <v>15</v>
      </c>
      <c r="I134" s="4">
        <v>82.6</v>
      </c>
      <c r="J134" s="4">
        <v>4.07</v>
      </c>
      <c r="K134" s="4">
        <v>1</v>
      </c>
      <c r="L134" s="4">
        <v>3</v>
      </c>
      <c r="M134" s="4">
        <v>641564.6</v>
      </c>
      <c r="N134" s="4">
        <v>90468.96</v>
      </c>
      <c r="O134">
        <f>396109.2647+(1.143827975*E134)+(33.53435949*F134)</f>
        <v>632179.82651718275</v>
      </c>
      <c r="P134">
        <f>M134-O134</f>
        <v>9384.7734828172252</v>
      </c>
    </row>
    <row r="135" spans="1:16">
      <c r="A135" s="4" t="s">
        <v>48</v>
      </c>
      <c r="B135" s="6">
        <v>45689</v>
      </c>
      <c r="C135" s="4" t="s">
        <v>27</v>
      </c>
      <c r="D135" s="4" t="s">
        <v>18</v>
      </c>
      <c r="E135" s="4">
        <v>74679.350000000006</v>
      </c>
      <c r="F135" s="4">
        <v>8739</v>
      </c>
      <c r="G135" s="4">
        <v>5.6000000000000001E-2</v>
      </c>
      <c r="H135" s="4">
        <v>21</v>
      </c>
      <c r="I135" s="4">
        <v>91.8</v>
      </c>
      <c r="J135" s="4">
        <v>2.83</v>
      </c>
      <c r="K135" s="4">
        <v>0</v>
      </c>
      <c r="L135" s="4">
        <v>3</v>
      </c>
      <c r="M135" s="4">
        <v>783797.89</v>
      </c>
      <c r="N135" s="4">
        <v>157620.70000000001</v>
      </c>
      <c r="O135">
        <f>396109.2647+(1.143827975*E135)+(33.53435949*F135)</f>
        <v>774586.36196792626</v>
      </c>
      <c r="P135">
        <f>M135-O135</f>
        <v>9211.5280320737511</v>
      </c>
    </row>
    <row r="136" spans="1:16">
      <c r="A136" s="4" t="s">
        <v>100</v>
      </c>
      <c r="B136" s="6">
        <v>45658</v>
      </c>
      <c r="C136" s="4" t="s">
        <v>20</v>
      </c>
      <c r="D136" s="4" t="s">
        <v>16</v>
      </c>
      <c r="E136" s="4">
        <v>78967.520000000004</v>
      </c>
      <c r="F136" s="4">
        <v>6164</v>
      </c>
      <c r="G136" s="4">
        <v>2.1000000000000001E-2</v>
      </c>
      <c r="H136" s="4">
        <v>16</v>
      </c>
      <c r="I136" s="4">
        <v>85.5</v>
      </c>
      <c r="J136" s="4">
        <v>0.2</v>
      </c>
      <c r="K136" s="4">
        <v>0</v>
      </c>
      <c r="L136" s="4">
        <v>3.4</v>
      </c>
      <c r="M136" s="4">
        <v>702052.47</v>
      </c>
      <c r="N136" s="4">
        <v>121732.51</v>
      </c>
      <c r="O136">
        <f>396109.2647+(1.143827975*E136)+(33.53435949*F136)</f>
        <v>693140.31508873194</v>
      </c>
      <c r="P136">
        <f>M136-O136</f>
        <v>8912.1549112680368</v>
      </c>
    </row>
    <row r="137" spans="1:16">
      <c r="A137" s="4" t="s">
        <v>46</v>
      </c>
      <c r="B137" s="6">
        <v>45717</v>
      </c>
      <c r="C137" s="4" t="s">
        <v>27</v>
      </c>
      <c r="D137" s="4" t="s">
        <v>28</v>
      </c>
      <c r="E137" s="4">
        <v>38752.800000000003</v>
      </c>
      <c r="F137" s="4">
        <v>4712</v>
      </c>
      <c r="G137" s="4">
        <v>7.4999999999999997E-2</v>
      </c>
      <c r="H137" s="4">
        <v>15</v>
      </c>
      <c r="I137" s="4">
        <v>89.7</v>
      </c>
      <c r="J137" s="4"/>
      <c r="K137" s="4">
        <v>0</v>
      </c>
      <c r="L137" s="4">
        <v>4.3</v>
      </c>
      <c r="M137" s="4">
        <v>605775.32999999996</v>
      </c>
      <c r="N137" s="4">
        <v>107194.6</v>
      </c>
      <c r="O137">
        <f>396109.2647+(1.143827975*E137)+(33.53435949*F137)</f>
        <v>598449.70336646005</v>
      </c>
      <c r="P137">
        <f>M137-O137</f>
        <v>7325.6266335399123</v>
      </c>
    </row>
    <row r="138" spans="1:16">
      <c r="A138" s="4" t="s">
        <v>26</v>
      </c>
      <c r="B138" s="6">
        <v>45658</v>
      </c>
      <c r="C138" s="4" t="s">
        <v>27</v>
      </c>
      <c r="D138" s="4" t="s">
        <v>28</v>
      </c>
      <c r="E138" s="4">
        <v>57696.69</v>
      </c>
      <c r="F138" s="4">
        <v>10218</v>
      </c>
      <c r="G138" s="4">
        <v>0.121</v>
      </c>
      <c r="H138" s="4">
        <v>25</v>
      </c>
      <c r="I138" s="4">
        <v>94.8</v>
      </c>
      <c r="J138" s="4">
        <v>2.99</v>
      </c>
      <c r="K138" s="4">
        <v>0</v>
      </c>
      <c r="L138" s="4">
        <v>3.5</v>
      </c>
      <c r="M138" s="4">
        <v>811771.14</v>
      </c>
      <c r="N138" s="4">
        <v>148756.24</v>
      </c>
      <c r="O138">
        <f>396109.2647+(1.143827975*E138)+(33.53435949*F138)</f>
        <v>804758.43805572274</v>
      </c>
      <c r="P138">
        <f>M138-O138</f>
        <v>7012.7019442772726</v>
      </c>
    </row>
    <row r="139" spans="1:16">
      <c r="A139" s="4" t="s">
        <v>67</v>
      </c>
      <c r="B139" s="6">
        <v>45658</v>
      </c>
      <c r="C139" s="4" t="s">
        <v>27</v>
      </c>
      <c r="D139" s="4" t="s">
        <v>16</v>
      </c>
      <c r="E139" s="4">
        <v>68491.11</v>
      </c>
      <c r="F139" s="4">
        <v>11154</v>
      </c>
      <c r="G139" s="4">
        <v>1E-3</v>
      </c>
      <c r="H139" s="4">
        <v>24</v>
      </c>
      <c r="I139" s="4">
        <v>89.4</v>
      </c>
      <c r="J139" s="4">
        <v>5.27</v>
      </c>
      <c r="K139" s="4">
        <v>1</v>
      </c>
      <c r="L139" s="4">
        <v>3.9</v>
      </c>
      <c r="M139" s="4">
        <v>855341.28</v>
      </c>
      <c r="N139" s="4">
        <v>175823.8</v>
      </c>
      <c r="O139">
        <f>396109.2647+(1.143827975*E139)+(33.53435949*F139)</f>
        <v>848493.55810826225</v>
      </c>
      <c r="P139">
        <f>M139-O139</f>
        <v>6847.7218917377759</v>
      </c>
    </row>
    <row r="140" spans="1:16">
      <c r="A140" s="4" t="s">
        <v>51</v>
      </c>
      <c r="B140" s="6">
        <v>45658</v>
      </c>
      <c r="C140" s="4" t="s">
        <v>27</v>
      </c>
      <c r="D140" s="4" t="s">
        <v>16</v>
      </c>
      <c r="E140" s="4">
        <v>43685.14</v>
      </c>
      <c r="F140" s="4">
        <v>7821</v>
      </c>
      <c r="G140" s="4">
        <v>0.19</v>
      </c>
      <c r="H140" s="4">
        <v>17</v>
      </c>
      <c r="I140" s="4">
        <v>91</v>
      </c>
      <c r="J140" s="4">
        <v>2.4900000000000002</v>
      </c>
      <c r="K140" s="4">
        <v>1</v>
      </c>
      <c r="L140" s="4">
        <v>4.7</v>
      </c>
      <c r="M140" s="4">
        <v>714942.43</v>
      </c>
      <c r="N140" s="4">
        <v>94697.71</v>
      </c>
      <c r="O140">
        <f>396109.2647+(1.143827975*E140)+(33.53435949*F140)</f>
        <v>708349.77549508144</v>
      </c>
      <c r="P140">
        <f>M140-O140</f>
        <v>6592.6545049186097</v>
      </c>
    </row>
    <row r="141" spans="1:16">
      <c r="A141" s="4" t="s">
        <v>94</v>
      </c>
      <c r="B141" s="6">
        <v>45748</v>
      </c>
      <c r="C141" s="4" t="s">
        <v>15</v>
      </c>
      <c r="D141" s="4" t="s">
        <v>16</v>
      </c>
      <c r="E141" s="4">
        <v>54080.91</v>
      </c>
      <c r="F141" s="4">
        <v>7083</v>
      </c>
      <c r="G141" s="4">
        <v>0</v>
      </c>
      <c r="H141" s="4">
        <v>15</v>
      </c>
      <c r="I141" s="4">
        <v>97</v>
      </c>
      <c r="J141" s="4">
        <v>5.33</v>
      </c>
      <c r="K141" s="4">
        <v>0</v>
      </c>
      <c r="L141" s="4">
        <v>4.0999999999999996</v>
      </c>
      <c r="M141" s="4">
        <v>702068.92</v>
      </c>
      <c r="N141" s="4">
        <v>111266.63</v>
      </c>
      <c r="O141">
        <f>396109.2647+(1.143827975*E141)+(33.53435949*F141)</f>
        <v>695492.3907391273</v>
      </c>
      <c r="P141">
        <f>M141-O141</f>
        <v>6576.5292608727468</v>
      </c>
    </row>
    <row r="142" spans="1:16">
      <c r="A142" s="4" t="s">
        <v>83</v>
      </c>
      <c r="B142" s="6">
        <v>45689</v>
      </c>
      <c r="C142" s="4" t="s">
        <v>15</v>
      </c>
      <c r="D142" s="4" t="s">
        <v>18</v>
      </c>
      <c r="E142" s="4">
        <v>48060.78</v>
      </c>
      <c r="F142" s="4">
        <v>8733</v>
      </c>
      <c r="G142" s="4">
        <v>0</v>
      </c>
      <c r="H142" s="4">
        <v>20</v>
      </c>
      <c r="I142" s="4">
        <v>89.9</v>
      </c>
      <c r="J142" s="4">
        <v>0.8</v>
      </c>
      <c r="K142" s="4">
        <v>0</v>
      </c>
      <c r="L142" s="4">
        <v>3.4</v>
      </c>
      <c r="M142" s="4">
        <v>750471.34</v>
      </c>
      <c r="N142" s="4">
        <v>133788.04</v>
      </c>
      <c r="O142">
        <f>396109.2647+(1.143827975*E142)+(33.53435949*F142)</f>
        <v>743938.0907904905</v>
      </c>
      <c r="P142">
        <f>M142-O142</f>
        <v>6533.249209509464</v>
      </c>
    </row>
    <row r="143" spans="1:16">
      <c r="A143" s="4" t="s">
        <v>73</v>
      </c>
      <c r="B143" s="6">
        <v>45658</v>
      </c>
      <c r="C143" s="4" t="s">
        <v>15</v>
      </c>
      <c r="D143" s="4" t="s">
        <v>28</v>
      </c>
      <c r="E143" s="4">
        <v>92090.14</v>
      </c>
      <c r="F143" s="4">
        <v>9476</v>
      </c>
      <c r="G143" s="4">
        <v>7.0000000000000007E-2</v>
      </c>
      <c r="H143" s="4">
        <v>24</v>
      </c>
      <c r="I143" s="4">
        <v>94.3</v>
      </c>
      <c r="J143" s="4">
        <v>0.87</v>
      </c>
      <c r="K143" s="4">
        <v>0</v>
      </c>
      <c r="L143" s="4">
        <v>3.7</v>
      </c>
      <c r="M143" s="4">
        <v>825060.52</v>
      </c>
      <c r="N143" s="4">
        <v>143613.15</v>
      </c>
      <c r="O143">
        <f>396109.2647+(1.143827975*E143)+(33.53435949*F143)</f>
        <v>819216.13358090655</v>
      </c>
      <c r="P143">
        <f>M143-O143</f>
        <v>5844.3864190934692</v>
      </c>
    </row>
    <row r="144" spans="1:16">
      <c r="A144" s="4" t="s">
        <v>33</v>
      </c>
      <c r="B144" s="6">
        <v>45748</v>
      </c>
      <c r="C144" s="4" t="s">
        <v>27</v>
      </c>
      <c r="D144" s="4" t="s">
        <v>16</v>
      </c>
      <c r="E144" s="4">
        <v>42093.84</v>
      </c>
      <c r="F144" s="4">
        <v>4074</v>
      </c>
      <c r="G144" s="4">
        <v>0.155</v>
      </c>
      <c r="H144" s="4">
        <v>15</v>
      </c>
      <c r="I144" s="4">
        <v>88</v>
      </c>
      <c r="J144" s="4">
        <v>9.64</v>
      </c>
      <c r="K144" s="4">
        <v>0</v>
      </c>
      <c r="L144" s="4">
        <v>3.3</v>
      </c>
      <c r="M144" s="4">
        <v>585365.73</v>
      </c>
      <c r="N144" s="4">
        <v>81011.520000000004</v>
      </c>
      <c r="O144">
        <f>396109.2647+(1.143827975*E144)+(33.53435949*F144)</f>
        <v>580876.35702943394</v>
      </c>
      <c r="P144">
        <f>M144-O144</f>
        <v>4489.3729705660371</v>
      </c>
    </row>
    <row r="145" spans="1:16">
      <c r="A145" s="4" t="s">
        <v>49</v>
      </c>
      <c r="B145" s="6">
        <v>45689</v>
      </c>
      <c r="C145" s="4" t="s">
        <v>15</v>
      </c>
      <c r="D145" s="4" t="s">
        <v>28</v>
      </c>
      <c r="E145" s="4">
        <v>69411.7</v>
      </c>
      <c r="F145" s="4">
        <v>5493</v>
      </c>
      <c r="G145" s="4">
        <v>0.29199999999999998</v>
      </c>
      <c r="H145" s="4">
        <v>13</v>
      </c>
      <c r="I145" s="4">
        <v>86.5</v>
      </c>
      <c r="J145" s="4">
        <v>6.69</v>
      </c>
      <c r="K145" s="4">
        <v>0</v>
      </c>
      <c r="L145" s="4">
        <v>3.8</v>
      </c>
      <c r="M145" s="4">
        <v>664162.49</v>
      </c>
      <c r="N145" s="4">
        <v>98291.06</v>
      </c>
      <c r="O145">
        <f>396109.2647+(1.143827975*E145)+(33.53435949*F145)</f>
        <v>659708.54563087749</v>
      </c>
      <c r="P145">
        <f>M145-O145</f>
        <v>4453.9443691225024</v>
      </c>
    </row>
    <row r="146" spans="1:16">
      <c r="A146" s="4" t="s">
        <v>26</v>
      </c>
      <c r="B146" s="6">
        <v>45748</v>
      </c>
      <c r="C146" s="4" t="s">
        <v>27</v>
      </c>
      <c r="D146" s="4" t="s">
        <v>28</v>
      </c>
      <c r="E146" s="4">
        <v>52715.1</v>
      </c>
      <c r="F146" s="4">
        <v>7223</v>
      </c>
      <c r="G146" s="4">
        <v>0.122</v>
      </c>
      <c r="H146" s="4">
        <v>16</v>
      </c>
      <c r="I146" s="4">
        <v>84.2</v>
      </c>
      <c r="J146" s="4">
        <v>16.149999999999999</v>
      </c>
      <c r="K146" s="4">
        <v>0</v>
      </c>
      <c r="L146" s="4">
        <v>3.7</v>
      </c>
      <c r="M146" s="4">
        <v>701641.97</v>
      </c>
      <c r="N146" s="4">
        <v>106111.86</v>
      </c>
      <c r="O146">
        <f>396109.2647+(1.143827975*E146)+(33.53435949*F146)</f>
        <v>698624.94938119256</v>
      </c>
      <c r="P146">
        <f>M146-O146</f>
        <v>3017.020618807408</v>
      </c>
    </row>
    <row r="147" spans="1:16">
      <c r="A147" s="4" t="s">
        <v>60</v>
      </c>
      <c r="B147" s="6">
        <v>45689</v>
      </c>
      <c r="C147" s="4" t="s">
        <v>15</v>
      </c>
      <c r="D147" s="4" t="s">
        <v>18</v>
      </c>
      <c r="E147" s="4">
        <v>64374.75</v>
      </c>
      <c r="F147" s="4">
        <v>6740</v>
      </c>
      <c r="G147" s="4">
        <v>0.16900000000000001</v>
      </c>
      <c r="H147" s="4">
        <v>18</v>
      </c>
      <c r="I147" s="4">
        <v>87</v>
      </c>
      <c r="J147" s="4">
        <v>2.09</v>
      </c>
      <c r="K147" s="4">
        <v>0</v>
      </c>
      <c r="L147" s="4">
        <v>4.2</v>
      </c>
      <c r="M147" s="4">
        <v>698492.67</v>
      </c>
      <c r="N147" s="4">
        <v>117319.32</v>
      </c>
      <c r="O147">
        <f>396109.2647+(1.143827975*E147)+(33.53435949*F147)</f>
        <v>695764.48759623128</v>
      </c>
      <c r="P147">
        <f>M147-O147</f>
        <v>2728.182403768762</v>
      </c>
    </row>
    <row r="148" spans="1:16">
      <c r="A148" s="4" t="s">
        <v>95</v>
      </c>
      <c r="B148" s="6">
        <v>45748</v>
      </c>
      <c r="C148" s="4" t="s">
        <v>27</v>
      </c>
      <c r="D148" s="4" t="s">
        <v>18</v>
      </c>
      <c r="E148" s="4">
        <v>27398.28</v>
      </c>
      <c r="F148" s="4">
        <v>1723</v>
      </c>
      <c r="G148" s="4">
        <v>0.17100000000000001</v>
      </c>
      <c r="H148" s="4">
        <v>9</v>
      </c>
      <c r="I148" s="4">
        <v>81</v>
      </c>
      <c r="J148" s="4">
        <v>0.74</v>
      </c>
      <c r="K148" s="4">
        <v>0</v>
      </c>
      <c r="L148" s="4">
        <v>4.5999999999999996</v>
      </c>
      <c r="M148" s="4">
        <v>487738.26</v>
      </c>
      <c r="N148" s="4">
        <v>96435.6</v>
      </c>
      <c r="O148">
        <f>396109.2647+(1.143827975*E148)+(33.53435949*F148)</f>
        <v>485227.885232153</v>
      </c>
      <c r="P148">
        <f>M148-O148</f>
        <v>2510.3747678470099</v>
      </c>
    </row>
    <row r="149" spans="1:16">
      <c r="A149" s="4" t="s">
        <v>74</v>
      </c>
      <c r="B149" s="6">
        <v>45658</v>
      </c>
      <c r="C149" s="4" t="s">
        <v>15</v>
      </c>
      <c r="D149" s="4" t="s">
        <v>18</v>
      </c>
      <c r="E149" s="4">
        <v>63457.19</v>
      </c>
      <c r="F149" s="4">
        <v>10125</v>
      </c>
      <c r="G149" s="4">
        <v>9.7000000000000003E-2</v>
      </c>
      <c r="H149" s="4">
        <v>24</v>
      </c>
      <c r="I149" s="4">
        <v>87</v>
      </c>
      <c r="J149" s="4">
        <v>3.84</v>
      </c>
      <c r="K149" s="4">
        <v>1</v>
      </c>
      <c r="L149" s="4">
        <v>3.7</v>
      </c>
      <c r="M149" s="4">
        <v>810446.53</v>
      </c>
      <c r="N149" s="4">
        <v>200575.34</v>
      </c>
      <c r="O149">
        <f>396109.2647+(1.143827975*E149)+(33.53435949*F149)</f>
        <v>808228.7636731402</v>
      </c>
      <c r="P149">
        <f>M149-O149</f>
        <v>2217.7663268598262</v>
      </c>
    </row>
    <row r="150" spans="1:16">
      <c r="A150" s="4" t="s">
        <v>34</v>
      </c>
      <c r="B150" s="6">
        <v>45658</v>
      </c>
      <c r="C150" s="4" t="s">
        <v>20</v>
      </c>
      <c r="D150" s="4" t="s">
        <v>28</v>
      </c>
      <c r="E150" s="4">
        <v>46624.05</v>
      </c>
      <c r="F150" s="4">
        <v>5104</v>
      </c>
      <c r="G150" s="4">
        <v>0.109</v>
      </c>
      <c r="H150" s="4">
        <v>11</v>
      </c>
      <c r="I150" s="4">
        <v>97.3</v>
      </c>
      <c r="J150" s="4">
        <v>3.49</v>
      </c>
      <c r="K150" s="4">
        <v>1</v>
      </c>
      <c r="L150" s="4">
        <v>4.7</v>
      </c>
      <c r="M150" s="4">
        <v>622811.74</v>
      </c>
      <c r="N150" s="4">
        <v>109978.35</v>
      </c>
      <c r="O150">
        <f>396109.2647+(1.143827975*E150)+(33.53435949*F150)</f>
        <v>620598.52823475876</v>
      </c>
      <c r="P150">
        <f>M150-O150</f>
        <v>2213.2117652412271</v>
      </c>
    </row>
    <row r="151" spans="1:16">
      <c r="A151" s="4" t="s">
        <v>63</v>
      </c>
      <c r="B151" s="6">
        <v>45717</v>
      </c>
      <c r="C151" s="4" t="s">
        <v>20</v>
      </c>
      <c r="D151" s="4" t="s">
        <v>28</v>
      </c>
      <c r="E151" s="4">
        <v>30301.86</v>
      </c>
      <c r="F151" s="4">
        <v>6939</v>
      </c>
      <c r="G151" s="4">
        <v>0.09</v>
      </c>
      <c r="H151" s="4">
        <v>16</v>
      </c>
      <c r="I151" s="4">
        <v>90.3</v>
      </c>
      <c r="J151" s="4">
        <v>3.49</v>
      </c>
      <c r="K151" s="4">
        <v>0</v>
      </c>
      <c r="L151" s="4">
        <v>4</v>
      </c>
      <c r="M151" s="4">
        <v>665534.69999999995</v>
      </c>
      <c r="N151" s="4">
        <v>113167.73</v>
      </c>
      <c r="O151">
        <f>396109.2647+(1.143827975*E151)+(33.53435949*F151)</f>
        <v>663464.30036364356</v>
      </c>
      <c r="P151">
        <f>M151-O151</f>
        <v>2070.3996363563929</v>
      </c>
    </row>
    <row r="152" spans="1:16">
      <c r="A152" s="4" t="s">
        <v>43</v>
      </c>
      <c r="B152" s="6">
        <v>45717</v>
      </c>
      <c r="C152" s="4" t="s">
        <v>27</v>
      </c>
      <c r="D152" s="4" t="s">
        <v>18</v>
      </c>
      <c r="E152" s="4">
        <v>78231.91</v>
      </c>
      <c r="F152" s="4">
        <v>3788</v>
      </c>
      <c r="G152" s="4">
        <v>5.8999999999999997E-2</v>
      </c>
      <c r="H152" s="4">
        <v>11</v>
      </c>
      <c r="I152" s="4">
        <v>88.5</v>
      </c>
      <c r="J152" s="4">
        <v>15.51</v>
      </c>
      <c r="K152" s="4">
        <v>0</v>
      </c>
      <c r="L152" s="4">
        <v>4.3</v>
      </c>
      <c r="M152" s="4">
        <v>614596.31999999995</v>
      </c>
      <c r="N152" s="4">
        <v>131199.41</v>
      </c>
      <c r="O152">
        <f>396109.2647+(1.143827975*E152)+(33.53435949*F152)</f>
        <v>612621.26564380224</v>
      </c>
      <c r="P152">
        <f>M152-O152</f>
        <v>1975.0543561977101</v>
      </c>
    </row>
    <row r="153" spans="1:16">
      <c r="A153" s="4" t="s">
        <v>17</v>
      </c>
      <c r="B153" s="6">
        <v>45717</v>
      </c>
      <c r="C153" s="4" t="s">
        <v>15</v>
      </c>
      <c r="D153" s="4" t="s">
        <v>18</v>
      </c>
      <c r="E153" s="4">
        <v>46213.45</v>
      </c>
      <c r="F153" s="4">
        <v>10616</v>
      </c>
      <c r="G153" s="4">
        <v>0.122</v>
      </c>
      <c r="H153" s="4">
        <v>22</v>
      </c>
      <c r="I153" s="4">
        <v>85.2</v>
      </c>
      <c r="J153" s="4">
        <v>0.2</v>
      </c>
      <c r="K153" s="4">
        <v>1</v>
      </c>
      <c r="L153" s="4">
        <v>4.0999999999999996</v>
      </c>
      <c r="M153" s="4">
        <v>806615.54</v>
      </c>
      <c r="N153" s="4">
        <v>131364.62</v>
      </c>
      <c r="O153">
        <f>396109.2647+(1.143827975*E153)+(33.53435949*F153)</f>
        <v>804970.26197710377</v>
      </c>
      <c r="P153">
        <f>M153-O153</f>
        <v>1645.2780228962656</v>
      </c>
    </row>
    <row r="154" spans="1:16">
      <c r="A154" s="4" t="s">
        <v>34</v>
      </c>
      <c r="B154" s="6">
        <v>45717</v>
      </c>
      <c r="C154" s="4" t="s">
        <v>20</v>
      </c>
      <c r="D154" s="4" t="s">
        <v>28</v>
      </c>
      <c r="E154" s="4">
        <v>48287.85</v>
      </c>
      <c r="F154" s="4">
        <v>5150</v>
      </c>
      <c r="G154" s="4">
        <v>8.0000000000000002E-3</v>
      </c>
      <c r="H154" s="4">
        <v>12</v>
      </c>
      <c r="I154" s="4">
        <v>80.400000000000006</v>
      </c>
      <c r="J154" s="4">
        <v>7.4</v>
      </c>
      <c r="K154" s="4">
        <v>0</v>
      </c>
      <c r="L154" s="4">
        <v>4.5</v>
      </c>
      <c r="M154" s="4">
        <v>625672.86</v>
      </c>
      <c r="N154" s="4">
        <v>118020.12</v>
      </c>
      <c r="O154">
        <f>396109.2647+(1.143827975*E154)+(33.53435949*F154)</f>
        <v>624044.20975610381</v>
      </c>
      <c r="P154">
        <f>M154-O154</f>
        <v>1628.6502438961761</v>
      </c>
    </row>
    <row r="155" spans="1:16">
      <c r="A155" s="4" t="s">
        <v>58</v>
      </c>
      <c r="B155" s="6">
        <v>45717</v>
      </c>
      <c r="C155" s="4" t="s">
        <v>20</v>
      </c>
      <c r="D155" s="4" t="s">
        <v>16</v>
      </c>
      <c r="E155" s="4">
        <v>53351.7</v>
      </c>
      <c r="F155" s="4">
        <v>4259</v>
      </c>
      <c r="G155" s="4">
        <v>0.156</v>
      </c>
      <c r="H155" s="4">
        <v>15</v>
      </c>
      <c r="I155" s="4">
        <v>93.7</v>
      </c>
      <c r="J155" s="4">
        <v>6.03</v>
      </c>
      <c r="K155" s="4">
        <v>0</v>
      </c>
      <c r="L155" s="4">
        <v>3.4</v>
      </c>
      <c r="M155" s="4">
        <v>601568.87</v>
      </c>
      <c r="N155" s="4">
        <v>91634.82</v>
      </c>
      <c r="O155">
        <f>396109.2647+(1.143827975*E155)+(33.53435949*F155)</f>
        <v>599957.26874171756</v>
      </c>
      <c r="P155">
        <f>M155-O155</f>
        <v>1611.6012582824333</v>
      </c>
    </row>
    <row r="156" spans="1:16">
      <c r="A156" s="4" t="s">
        <v>93</v>
      </c>
      <c r="B156" s="6">
        <v>45689</v>
      </c>
      <c r="C156" s="4" t="s">
        <v>27</v>
      </c>
      <c r="D156" s="4" t="s">
        <v>16</v>
      </c>
      <c r="E156" s="4">
        <v>74539.14</v>
      </c>
      <c r="F156" s="4">
        <v>4487</v>
      </c>
      <c r="G156" s="4">
        <v>0.14000000000000001</v>
      </c>
      <c r="H156" s="4">
        <v>10</v>
      </c>
      <c r="I156" s="4">
        <v>90.4</v>
      </c>
      <c r="J156" s="4">
        <v>0.59</v>
      </c>
      <c r="K156" s="4">
        <v>0</v>
      </c>
      <c r="L156" s="4">
        <v>4.5</v>
      </c>
      <c r="M156" s="4">
        <v>633009.53</v>
      </c>
      <c r="N156" s="4">
        <v>123782.67</v>
      </c>
      <c r="O156">
        <f>396109.2647+(1.143827975*E156)+(33.53435949*F156)</f>
        <v>631837.88929607149</v>
      </c>
      <c r="P156">
        <f>M156-O156</f>
        <v>1171.6407039285405</v>
      </c>
    </row>
    <row r="157" spans="1:16">
      <c r="A157" s="4" t="s">
        <v>30</v>
      </c>
      <c r="B157" s="6">
        <v>45717</v>
      </c>
      <c r="C157" s="4" t="s">
        <v>20</v>
      </c>
      <c r="D157" s="4" t="s">
        <v>16</v>
      </c>
      <c r="E157" s="4">
        <v>74413.88</v>
      </c>
      <c r="F157" s="4">
        <v>9449</v>
      </c>
      <c r="G157" s="4">
        <v>3.9E-2</v>
      </c>
      <c r="H157" s="4">
        <v>23</v>
      </c>
      <c r="I157" s="4">
        <v>92.1</v>
      </c>
      <c r="J157" s="4">
        <v>2.12</v>
      </c>
      <c r="K157" s="4">
        <v>0</v>
      </c>
      <c r="L157" s="4">
        <v>3.5</v>
      </c>
      <c r="M157" s="4">
        <v>798952.17</v>
      </c>
      <c r="N157" s="4">
        <v>161499.04</v>
      </c>
      <c r="O157">
        <f>396109.2647+(1.143827975*E157)+(33.53435949*F157)</f>
        <v>798092.10519330297</v>
      </c>
      <c r="P157">
        <f>M157-O157</f>
        <v>860.06480669707526</v>
      </c>
    </row>
    <row r="158" spans="1:16">
      <c r="A158" s="4" t="s">
        <v>38</v>
      </c>
      <c r="B158" s="6">
        <v>45658</v>
      </c>
      <c r="C158" s="4" t="s">
        <v>27</v>
      </c>
      <c r="D158" s="4" t="s">
        <v>18</v>
      </c>
      <c r="E158" s="4">
        <v>70040.31</v>
      </c>
      <c r="F158" s="4">
        <v>9175</v>
      </c>
      <c r="G158" s="4">
        <v>0.107</v>
      </c>
      <c r="H158" s="4">
        <v>23</v>
      </c>
      <c r="I158" s="4">
        <v>95.1</v>
      </c>
      <c r="J158" s="4">
        <v>6.08</v>
      </c>
      <c r="K158" s="4">
        <v>1</v>
      </c>
      <c r="L158" s="4">
        <v>3.4</v>
      </c>
      <c r="M158" s="4">
        <v>784502.68</v>
      </c>
      <c r="N158" s="4">
        <v>129519.72</v>
      </c>
      <c r="O158">
        <f>396109.2647+(1.143827975*E158)+(33.53435949*F158)</f>
        <v>783901.07897642232</v>
      </c>
      <c r="P158">
        <f>M158-O158</f>
        <v>601.60102357773576</v>
      </c>
    </row>
    <row r="159" spans="1:16">
      <c r="A159" s="4" t="s">
        <v>90</v>
      </c>
      <c r="B159" s="6">
        <v>45658</v>
      </c>
      <c r="C159" s="4" t="s">
        <v>27</v>
      </c>
      <c r="D159" s="4" t="s">
        <v>18</v>
      </c>
      <c r="E159" s="4">
        <v>50532.17</v>
      </c>
      <c r="F159" s="4">
        <v>5689</v>
      </c>
      <c r="G159" s="4">
        <v>5.1999999999999998E-2</v>
      </c>
      <c r="H159" s="4">
        <v>17</v>
      </c>
      <c r="I159" s="4">
        <v>85.6</v>
      </c>
      <c r="J159" s="4">
        <v>6.23</v>
      </c>
      <c r="K159" s="4">
        <v>0</v>
      </c>
      <c r="L159" s="4">
        <v>3.3</v>
      </c>
      <c r="M159" s="4">
        <v>645039.97</v>
      </c>
      <c r="N159" s="4">
        <v>83093.33</v>
      </c>
      <c r="O159">
        <f>396109.2647+(1.143827975*E159)+(33.53435949*F159)</f>
        <v>644686.34552206576</v>
      </c>
      <c r="P159">
        <f>M159-O159</f>
        <v>353.6244779342087</v>
      </c>
    </row>
    <row r="160" spans="1:16">
      <c r="A160" s="4" t="s">
        <v>88</v>
      </c>
      <c r="B160" s="6">
        <v>45658</v>
      </c>
      <c r="C160" s="4" t="s">
        <v>15</v>
      </c>
      <c r="D160" s="4" t="s">
        <v>18</v>
      </c>
      <c r="E160" s="4">
        <v>58981.91</v>
      </c>
      <c r="F160" s="4">
        <v>7324</v>
      </c>
      <c r="G160" s="4">
        <v>9.4E-2</v>
      </c>
      <c r="H160" s="4">
        <v>15</v>
      </c>
      <c r="I160" s="4">
        <v>95.8</v>
      </c>
      <c r="J160" s="4">
        <v>0.5</v>
      </c>
      <c r="K160" s="4">
        <v>0</v>
      </c>
      <c r="L160" s="4">
        <v>3.5</v>
      </c>
      <c r="M160" s="4">
        <v>708985.19</v>
      </c>
      <c r="N160" s="4">
        <v>125368.16</v>
      </c>
      <c r="O160">
        <f>396109.2647+(1.143827975*E160)+(33.53435949*F160)</f>
        <v>709180.07228169229</v>
      </c>
      <c r="P160">
        <f>M160-O160</f>
        <v>-194.88228169234935</v>
      </c>
    </row>
    <row r="161" spans="1:16">
      <c r="A161" s="4" t="s">
        <v>87</v>
      </c>
      <c r="B161" s="6">
        <v>45689</v>
      </c>
      <c r="C161" s="4" t="s">
        <v>27</v>
      </c>
      <c r="D161" s="4" t="s">
        <v>18</v>
      </c>
      <c r="E161" s="4">
        <v>43288.2</v>
      </c>
      <c r="F161" s="4">
        <v>4783</v>
      </c>
      <c r="G161" s="4">
        <v>0.16900000000000001</v>
      </c>
      <c r="H161" s="4">
        <v>13</v>
      </c>
      <c r="I161" s="4">
        <v>87.3</v>
      </c>
      <c r="J161" s="4"/>
      <c r="K161" s="4">
        <v>0</v>
      </c>
      <c r="L161" s="4">
        <v>4.2</v>
      </c>
      <c r="M161" s="4">
        <v>605751.32999999996</v>
      </c>
      <c r="N161" s="4">
        <v>60685.53</v>
      </c>
      <c r="O161">
        <f>396109.2647+(1.143827975*E161)+(33.53435949*F161)</f>
        <v>606018.36028806493</v>
      </c>
      <c r="P161">
        <f>M161-O161</f>
        <v>-267.03028806496877</v>
      </c>
    </row>
    <row r="162" spans="1:16">
      <c r="A162" s="4" t="s">
        <v>66</v>
      </c>
      <c r="B162" s="6">
        <v>45658</v>
      </c>
      <c r="C162" s="4" t="s">
        <v>27</v>
      </c>
      <c r="D162" s="4" t="s">
        <v>21</v>
      </c>
      <c r="E162" s="4">
        <v>67494.09</v>
      </c>
      <c r="F162" s="4">
        <v>12361</v>
      </c>
      <c r="G162" s="4">
        <v>4.5999999999999999E-2</v>
      </c>
      <c r="H162" s="4">
        <v>24</v>
      </c>
      <c r="I162" s="4">
        <v>76.599999999999994</v>
      </c>
      <c r="J162" s="4">
        <v>3.65</v>
      </c>
      <c r="K162" s="4">
        <v>1</v>
      </c>
      <c r="L162" s="4">
        <v>3.7</v>
      </c>
      <c r="M162" s="4">
        <v>887537.75</v>
      </c>
      <c r="N162" s="4">
        <v>160362.92000000001</v>
      </c>
      <c r="O162">
        <f>396109.2647+(1.143827975*E162)+(33.53435949*F162)</f>
        <v>887829.11064505763</v>
      </c>
      <c r="P162">
        <f>M162-O162</f>
        <v>-291.36064505763352</v>
      </c>
    </row>
    <row r="163" spans="1:16">
      <c r="A163" s="4" t="s">
        <v>68</v>
      </c>
      <c r="B163" s="6">
        <v>45658</v>
      </c>
      <c r="C163" s="4" t="s">
        <v>20</v>
      </c>
      <c r="D163" s="4" t="s">
        <v>18</v>
      </c>
      <c r="E163" s="4">
        <v>71941.62</v>
      </c>
      <c r="F163" s="4">
        <v>6084</v>
      </c>
      <c r="G163" s="4">
        <v>7.1999999999999995E-2</v>
      </c>
      <c r="H163" s="4">
        <v>13</v>
      </c>
      <c r="I163" s="4">
        <v>93.7</v>
      </c>
      <c r="J163" s="4">
        <v>2.34</v>
      </c>
      <c r="K163" s="4">
        <v>0</v>
      </c>
      <c r="L163" s="4">
        <v>4.4000000000000004</v>
      </c>
      <c r="M163" s="4">
        <v>681855.56</v>
      </c>
      <c r="N163" s="4">
        <v>117645.61</v>
      </c>
      <c r="O163">
        <f>396109.2647+(1.143827975*E163)+(33.53435949*F163)</f>
        <v>682421.14535997948</v>
      </c>
      <c r="P163">
        <f>M163-O163</f>
        <v>-565.5853599794209</v>
      </c>
    </row>
    <row r="164" spans="1:16">
      <c r="A164" s="4" t="s">
        <v>60</v>
      </c>
      <c r="B164" s="6">
        <v>45748</v>
      </c>
      <c r="C164" s="4" t="s">
        <v>15</v>
      </c>
      <c r="D164" s="4" t="s">
        <v>18</v>
      </c>
      <c r="E164" s="4">
        <v>42698.14</v>
      </c>
      <c r="F164" s="4">
        <v>7693</v>
      </c>
      <c r="G164" s="4">
        <v>0.187</v>
      </c>
      <c r="H164" s="4">
        <v>19</v>
      </c>
      <c r="I164" s="4">
        <v>90.1</v>
      </c>
      <c r="J164" s="4">
        <v>0.44</v>
      </c>
      <c r="K164" s="4">
        <v>0</v>
      </c>
      <c r="L164" s="4">
        <v>4.4000000000000004</v>
      </c>
      <c r="M164" s="4">
        <v>702318.94</v>
      </c>
      <c r="N164" s="4">
        <v>112829.29</v>
      </c>
      <c r="O164">
        <f>396109.2647+(1.143827975*E164)+(33.53435949*F164)</f>
        <v>702928.4192690365</v>
      </c>
      <c r="P164">
        <f>M164-O164</f>
        <v>-609.47926903655753</v>
      </c>
    </row>
    <row r="165" spans="1:16">
      <c r="A165" s="4" t="s">
        <v>25</v>
      </c>
      <c r="B165" s="6">
        <v>45717</v>
      </c>
      <c r="C165" s="4" t="s">
        <v>20</v>
      </c>
      <c r="D165" s="4" t="s">
        <v>16</v>
      </c>
      <c r="E165" s="4">
        <v>42267.37</v>
      </c>
      <c r="F165" s="4">
        <v>3364</v>
      </c>
      <c r="G165" s="4">
        <v>0.16</v>
      </c>
      <c r="H165" s="4">
        <v>13</v>
      </c>
      <c r="I165" s="4">
        <v>82</v>
      </c>
      <c r="J165" s="4">
        <v>1.61</v>
      </c>
      <c r="K165" s="4">
        <v>1</v>
      </c>
      <c r="L165" s="4">
        <v>4.5999999999999996</v>
      </c>
      <c r="M165" s="4">
        <v>555929.4</v>
      </c>
      <c r="N165" s="4">
        <v>115201.76</v>
      </c>
      <c r="O165">
        <f>396109.2647+(1.143827975*E165)+(33.53435949*F165)</f>
        <v>557265.45026003569</v>
      </c>
      <c r="P165">
        <f>M165-O165</f>
        <v>-1336.0502600356704</v>
      </c>
    </row>
    <row r="166" spans="1:16">
      <c r="A166" s="4" t="s">
        <v>81</v>
      </c>
      <c r="B166" s="6">
        <v>45748</v>
      </c>
      <c r="C166" s="4" t="s">
        <v>27</v>
      </c>
      <c r="D166" s="4" t="s">
        <v>28</v>
      </c>
      <c r="E166" s="4">
        <v>26248.1</v>
      </c>
      <c r="F166" s="4">
        <v>9314</v>
      </c>
      <c r="G166" s="4">
        <v>0.186</v>
      </c>
      <c r="H166" s="4">
        <v>21</v>
      </c>
      <c r="I166" s="4">
        <v>83.7</v>
      </c>
      <c r="J166" s="4">
        <v>4.62</v>
      </c>
      <c r="K166" s="4">
        <v>0</v>
      </c>
      <c r="L166" s="4">
        <v>3.3</v>
      </c>
      <c r="M166" s="4">
        <v>737070.18</v>
      </c>
      <c r="N166" s="4">
        <v>117593.97</v>
      </c>
      <c r="O166">
        <f>396109.2647+(1.143827975*E166)+(33.53435949*F166)</f>
        <v>738471.60006045748</v>
      </c>
      <c r="P166">
        <f>M166-O166</f>
        <v>-1401.4200604574289</v>
      </c>
    </row>
    <row r="167" spans="1:16">
      <c r="A167" s="4" t="s">
        <v>45</v>
      </c>
      <c r="B167" s="6">
        <v>45748</v>
      </c>
      <c r="C167" s="4" t="s">
        <v>27</v>
      </c>
      <c r="D167" s="4" t="s">
        <v>16</v>
      </c>
      <c r="E167" s="4">
        <v>9534.65</v>
      </c>
      <c r="F167" s="4">
        <v>6057</v>
      </c>
      <c r="G167" s="4">
        <v>7.3999999999999996E-2</v>
      </c>
      <c r="H167" s="4">
        <v>15</v>
      </c>
      <c r="I167" s="4">
        <v>94.1</v>
      </c>
      <c r="J167" s="4">
        <v>5.79</v>
      </c>
      <c r="K167" s="4">
        <v>0</v>
      </c>
      <c r="L167" s="4">
        <v>4.5</v>
      </c>
      <c r="M167" s="4">
        <v>607898.12</v>
      </c>
      <c r="N167" s="4">
        <v>135404.85</v>
      </c>
      <c r="O167">
        <f>396109.2647+(1.143827975*E167)+(33.53435949*F167)</f>
        <v>610132.87953276373</v>
      </c>
      <c r="P167">
        <f>M167-O167</f>
        <v>-2234.7595327637391</v>
      </c>
    </row>
    <row r="168" spans="1:16">
      <c r="A168" s="4" t="s">
        <v>77</v>
      </c>
      <c r="B168" s="6">
        <v>45689</v>
      </c>
      <c r="C168" s="4" t="s">
        <v>15</v>
      </c>
      <c r="D168" s="4" t="s">
        <v>18</v>
      </c>
      <c r="E168" s="4">
        <v>27194.639999999999</v>
      </c>
      <c r="F168" s="4">
        <v>7404</v>
      </c>
      <c r="G168" s="4">
        <v>8.7999999999999995E-2</v>
      </c>
      <c r="H168" s="4">
        <v>18</v>
      </c>
      <c r="I168" s="4">
        <v>90.2</v>
      </c>
      <c r="J168" s="4">
        <v>1.2</v>
      </c>
      <c r="K168" s="4">
        <v>0</v>
      </c>
      <c r="L168" s="4">
        <v>3.4</v>
      </c>
      <c r="M168" s="4">
        <v>672670.54</v>
      </c>
      <c r="N168" s="4">
        <v>132684.18</v>
      </c>
      <c r="O168">
        <f>396109.2647+(1.143827975*E168)+(33.53435949*F168)</f>
        <v>675503.65236601396</v>
      </c>
      <c r="P168">
        <f>M168-O168</f>
        <v>-2833.1123660139274</v>
      </c>
    </row>
    <row r="169" spans="1:16">
      <c r="A169" s="4" t="s">
        <v>67</v>
      </c>
      <c r="B169" s="6">
        <v>45748</v>
      </c>
      <c r="C169" s="4" t="s">
        <v>27</v>
      </c>
      <c r="D169" s="4" t="s">
        <v>16</v>
      </c>
      <c r="E169" s="4">
        <v>57948.88</v>
      </c>
      <c r="F169" s="4">
        <v>10741</v>
      </c>
      <c r="G169" s="4">
        <v>7.0000000000000007E-2</v>
      </c>
      <c r="H169" s="4">
        <v>25</v>
      </c>
      <c r="I169" s="4">
        <v>90.1</v>
      </c>
      <c r="J169" s="4">
        <v>4.03</v>
      </c>
      <c r="K169" s="4">
        <v>0</v>
      </c>
      <c r="L169" s="4">
        <v>3.1</v>
      </c>
      <c r="M169" s="4">
        <v>819660.59</v>
      </c>
      <c r="N169" s="4">
        <v>172699.95</v>
      </c>
      <c r="O169">
        <f>396109.2647+(1.143827975*E169)+(33.53435949*F169)</f>
        <v>822585.37004600791</v>
      </c>
      <c r="P169">
        <f>M169-O169</f>
        <v>-2924.7800460079452</v>
      </c>
    </row>
    <row r="170" spans="1:16">
      <c r="A170" s="4" t="s">
        <v>97</v>
      </c>
      <c r="B170" s="6">
        <v>45717</v>
      </c>
      <c r="C170" s="4" t="s">
        <v>20</v>
      </c>
      <c r="D170" s="4" t="s">
        <v>28</v>
      </c>
      <c r="E170" s="4">
        <v>52843.75</v>
      </c>
      <c r="F170" s="4">
        <v>8268</v>
      </c>
      <c r="G170" s="4">
        <v>0.13800000000000001</v>
      </c>
      <c r="H170" s="4">
        <v>19</v>
      </c>
      <c r="I170" s="4">
        <v>87.3</v>
      </c>
      <c r="J170" s="4">
        <v>4.3899999999999997</v>
      </c>
      <c r="K170" s="4">
        <v>1</v>
      </c>
      <c r="L170" s="4">
        <v>4.7</v>
      </c>
      <c r="M170" s="4">
        <v>730890.01</v>
      </c>
      <c r="N170" s="4">
        <v>105502.56</v>
      </c>
      <c r="O170">
        <f>396109.2647+(1.143827975*E170)+(33.53435949*F170)</f>
        <v>733815.5085172262</v>
      </c>
      <c r="P170">
        <f>M170-O170</f>
        <v>-2925.498517226195</v>
      </c>
    </row>
    <row r="171" spans="1:16">
      <c r="A171" s="4" t="s">
        <v>101</v>
      </c>
      <c r="B171" s="6">
        <v>45689</v>
      </c>
      <c r="C171" s="4" t="s">
        <v>15</v>
      </c>
      <c r="D171" s="4" t="s">
        <v>16</v>
      </c>
      <c r="E171" s="4">
        <v>24088.06</v>
      </c>
      <c r="F171" s="4">
        <v>3466</v>
      </c>
      <c r="G171" s="4">
        <v>0</v>
      </c>
      <c r="H171" s="4">
        <v>11</v>
      </c>
      <c r="I171" s="4">
        <v>88</v>
      </c>
      <c r="J171" s="4">
        <v>0.2</v>
      </c>
      <c r="K171" s="4">
        <v>0</v>
      </c>
      <c r="L171" s="4">
        <v>3.8</v>
      </c>
      <c r="M171" s="4">
        <v>536845.42000000004</v>
      </c>
      <c r="N171" s="4">
        <v>107473.75</v>
      </c>
      <c r="O171">
        <f>396109.2647+(1.143827975*E171)+(33.53435949*F171)</f>
        <v>539891.95158381853</v>
      </c>
      <c r="P171">
        <f>M171-O171</f>
        <v>-3046.5315838184906</v>
      </c>
    </row>
    <row r="172" spans="1:16">
      <c r="A172" s="4" t="s">
        <v>38</v>
      </c>
      <c r="B172" s="6">
        <v>45689</v>
      </c>
      <c r="C172" s="4" t="s">
        <v>27</v>
      </c>
      <c r="D172" s="4" t="s">
        <v>18</v>
      </c>
      <c r="E172" s="4">
        <v>51148.69</v>
      </c>
      <c r="F172" s="4">
        <v>7940</v>
      </c>
      <c r="G172" s="4">
        <v>0.156</v>
      </c>
      <c r="H172" s="4">
        <v>18</v>
      </c>
      <c r="I172" s="4">
        <v>93.3</v>
      </c>
      <c r="J172" s="4">
        <v>10.91</v>
      </c>
      <c r="K172" s="4">
        <v>0</v>
      </c>
      <c r="L172" s="4">
        <v>3.6</v>
      </c>
      <c r="M172" s="4">
        <v>717141.55</v>
      </c>
      <c r="N172" s="4">
        <v>134013.60999999999</v>
      </c>
      <c r="O172">
        <f>396109.2647+(1.143827975*E172)+(33.53435949*F172)</f>
        <v>720877.38155720278</v>
      </c>
      <c r="P172">
        <f>M172-O172</f>
        <v>-3735.831557202735</v>
      </c>
    </row>
    <row r="173" spans="1:16">
      <c r="A173" s="4" t="s">
        <v>84</v>
      </c>
      <c r="B173" s="6">
        <v>45717</v>
      </c>
      <c r="C173" s="4" t="s">
        <v>20</v>
      </c>
      <c r="D173" s="4" t="s">
        <v>18</v>
      </c>
      <c r="E173" s="4">
        <v>38361.93</v>
      </c>
      <c r="F173" s="4">
        <v>6322</v>
      </c>
      <c r="G173" s="4">
        <v>0.27300000000000002</v>
      </c>
      <c r="H173" s="4">
        <v>15</v>
      </c>
      <c r="I173" s="4">
        <v>88.4</v>
      </c>
      <c r="J173" s="4">
        <v>0.83</v>
      </c>
      <c r="K173" s="4">
        <v>0</v>
      </c>
      <c r="L173" s="4">
        <v>4</v>
      </c>
      <c r="M173" s="4">
        <v>647953.78</v>
      </c>
      <c r="N173" s="4">
        <v>118497.43</v>
      </c>
      <c r="O173">
        <f>396109.2647+(1.143827975*E173)+(33.53435949*F173)</f>
        <v>651992.93410477182</v>
      </c>
      <c r="P173">
        <f>M173-O173</f>
        <v>-4039.154104771791</v>
      </c>
    </row>
    <row r="174" spans="1:16">
      <c r="A174" s="4" t="s">
        <v>77</v>
      </c>
      <c r="B174" s="6">
        <v>45717</v>
      </c>
      <c r="C174" s="4" t="s">
        <v>15</v>
      </c>
      <c r="D174" s="4" t="s">
        <v>18</v>
      </c>
      <c r="E174" s="4">
        <v>66962.740000000005</v>
      </c>
      <c r="F174" s="4">
        <v>7880</v>
      </c>
      <c r="G174" s="4">
        <v>0.11600000000000001</v>
      </c>
      <c r="H174" s="4">
        <v>19</v>
      </c>
      <c r="I174" s="4">
        <v>90.4</v>
      </c>
      <c r="J174" s="4">
        <v>4.5</v>
      </c>
      <c r="K174" s="4">
        <v>0</v>
      </c>
      <c r="L174" s="4">
        <v>3.3</v>
      </c>
      <c r="M174" s="4">
        <v>732667.92</v>
      </c>
      <c r="N174" s="4">
        <v>128654.46</v>
      </c>
      <c r="O174">
        <f>396109.2647+(1.143827975*E174)+(33.53435949*F174)</f>
        <v>736953.87277585152</v>
      </c>
      <c r="P174">
        <f>M174-O174</f>
        <v>-4285.9527758514741</v>
      </c>
    </row>
    <row r="175" spans="1:16">
      <c r="A175" s="4" t="s">
        <v>48</v>
      </c>
      <c r="B175" s="6">
        <v>45748</v>
      </c>
      <c r="C175" s="4" t="s">
        <v>27</v>
      </c>
      <c r="D175" s="4" t="s">
        <v>18</v>
      </c>
      <c r="E175" s="4">
        <v>31042.03</v>
      </c>
      <c r="F175" s="4">
        <v>7107</v>
      </c>
      <c r="G175" s="4">
        <v>5.0999999999999997E-2</v>
      </c>
      <c r="H175" s="4">
        <v>15</v>
      </c>
      <c r="I175" s="4">
        <v>87</v>
      </c>
      <c r="J175" s="4">
        <v>13.33</v>
      </c>
      <c r="K175" s="4">
        <v>0</v>
      </c>
      <c r="L175" s="4">
        <v>3.2</v>
      </c>
      <c r="M175" s="4">
        <v>665594.93999999994</v>
      </c>
      <c r="N175" s="4">
        <v>127597.34</v>
      </c>
      <c r="O175">
        <f>396109.2647+(1.143827975*E175)+(33.53435949*F175)</f>
        <v>669944.69991021929</v>
      </c>
      <c r="P175">
        <f>M175-O175</f>
        <v>-4349.759910219349</v>
      </c>
    </row>
    <row r="176" spans="1:16">
      <c r="A176" s="4" t="s">
        <v>74</v>
      </c>
      <c r="B176" s="6">
        <v>45717</v>
      </c>
      <c r="C176" s="4" t="s">
        <v>15</v>
      </c>
      <c r="D176" s="4" t="s">
        <v>18</v>
      </c>
      <c r="E176" s="4">
        <v>107970.19</v>
      </c>
      <c r="F176" s="4">
        <v>12870</v>
      </c>
      <c r="G176" s="4">
        <v>2.9000000000000001E-2</v>
      </c>
      <c r="H176" s="4">
        <v>31</v>
      </c>
      <c r="I176" s="4">
        <v>91.7</v>
      </c>
      <c r="J176" s="4">
        <v>3.82</v>
      </c>
      <c r="K176" s="4">
        <v>1</v>
      </c>
      <c r="L176" s="4">
        <v>3.7</v>
      </c>
      <c r="M176" s="4">
        <v>946833.54</v>
      </c>
      <c r="N176" s="4">
        <v>184540.31</v>
      </c>
      <c r="O176">
        <f>396109.2647+(1.143827975*E176)+(33.53435949*F176)</f>
        <v>951195.79512436525</v>
      </c>
      <c r="P176">
        <f>M176-O176</f>
        <v>-4362.2551243652124</v>
      </c>
    </row>
    <row r="177" spans="1:16">
      <c r="A177" s="4" t="s">
        <v>81</v>
      </c>
      <c r="B177" s="6">
        <v>45689</v>
      </c>
      <c r="C177" s="4" t="s">
        <v>27</v>
      </c>
      <c r="D177" s="4" t="s">
        <v>28</v>
      </c>
      <c r="E177" s="4">
        <v>72961.95</v>
      </c>
      <c r="F177" s="4">
        <v>9996</v>
      </c>
      <c r="G177" s="4">
        <v>0.106</v>
      </c>
      <c r="H177" s="4">
        <v>22</v>
      </c>
      <c r="I177" s="4">
        <v>89.1</v>
      </c>
      <c r="J177" s="4">
        <v>15.66</v>
      </c>
      <c r="K177" s="4">
        <v>0</v>
      </c>
      <c r="L177" s="4">
        <v>3.4</v>
      </c>
      <c r="M177" s="4">
        <v>810355.02</v>
      </c>
      <c r="N177" s="4">
        <v>131510</v>
      </c>
      <c r="O177">
        <f>396109.2647+(1.143827975*E177)+(33.53435949*F177)</f>
        <v>814774.64168259129</v>
      </c>
      <c r="P177">
        <f>M177-O177</f>
        <v>-4419.6216825912707</v>
      </c>
    </row>
    <row r="178" spans="1:16">
      <c r="A178" s="4" t="s">
        <v>23</v>
      </c>
      <c r="B178" s="6">
        <v>45717</v>
      </c>
      <c r="C178" s="4" t="s">
        <v>24</v>
      </c>
      <c r="D178" s="4" t="s">
        <v>16</v>
      </c>
      <c r="E178" s="4">
        <v>78831.12</v>
      </c>
      <c r="F178" s="4">
        <v>5538</v>
      </c>
      <c r="G178" s="4">
        <v>0</v>
      </c>
      <c r="H178" s="4">
        <v>15</v>
      </c>
      <c r="I178" s="4">
        <v>94.1</v>
      </c>
      <c r="J178" s="4">
        <v>0.2</v>
      </c>
      <c r="K178" s="4">
        <v>0</v>
      </c>
      <c r="L178" s="4">
        <v>3.9</v>
      </c>
      <c r="M178" s="4">
        <v>666573.19999999995</v>
      </c>
      <c r="N178" s="4">
        <v>140641.01999999999</v>
      </c>
      <c r="O178">
        <f>396109.2647+(1.143827975*E178)+(33.53435949*F178)</f>
        <v>671991.78791220195</v>
      </c>
      <c r="P178">
        <f>M178-O178</f>
        <v>-5418.5879122019978</v>
      </c>
    </row>
    <row r="179" spans="1:16">
      <c r="A179" s="4" t="s">
        <v>30</v>
      </c>
      <c r="B179" s="6">
        <v>45748</v>
      </c>
      <c r="C179" s="4" t="s">
        <v>20</v>
      </c>
      <c r="D179" s="4" t="s">
        <v>16</v>
      </c>
      <c r="E179" s="4">
        <v>52483.77</v>
      </c>
      <c r="F179" s="4">
        <v>10453</v>
      </c>
      <c r="G179" s="4">
        <v>0.247</v>
      </c>
      <c r="H179" s="4">
        <v>25</v>
      </c>
      <c r="I179" s="4">
        <v>99</v>
      </c>
      <c r="J179" s="4">
        <v>6.31</v>
      </c>
      <c r="K179" s="4">
        <v>0</v>
      </c>
      <c r="L179" s="4">
        <v>3.6</v>
      </c>
      <c r="M179" s="4">
        <v>800979.78</v>
      </c>
      <c r="N179" s="4">
        <v>149242.26999999999</v>
      </c>
      <c r="O179">
        <f>396109.2647+(1.143827975*E179)+(33.53435949*F179)</f>
        <v>806676.3288084357</v>
      </c>
      <c r="P179">
        <f>M179-O179</f>
        <v>-5696.5488084356766</v>
      </c>
    </row>
    <row r="180" spans="1:16">
      <c r="A180" s="4" t="s">
        <v>45</v>
      </c>
      <c r="B180" s="6">
        <v>45658</v>
      </c>
      <c r="C180" s="4" t="s">
        <v>27</v>
      </c>
      <c r="D180" s="4" t="s">
        <v>16</v>
      </c>
      <c r="E180" s="4">
        <v>38966.589999999997</v>
      </c>
      <c r="F180" s="4">
        <v>4509</v>
      </c>
      <c r="G180" s="4">
        <v>0.19400000000000001</v>
      </c>
      <c r="H180" s="4">
        <v>14</v>
      </c>
      <c r="I180" s="4">
        <v>91.1</v>
      </c>
      <c r="J180" s="4">
        <v>2.92</v>
      </c>
      <c r="K180" s="4">
        <v>0</v>
      </c>
      <c r="L180" s="4">
        <v>4.5999999999999996</v>
      </c>
      <c r="M180" s="4">
        <v>585937.48</v>
      </c>
      <c r="N180" s="4">
        <v>82624.2</v>
      </c>
      <c r="O180">
        <f>396109.2647+(1.143827975*E180)+(33.53435949*F180)</f>
        <v>591886.76737276523</v>
      </c>
      <c r="P180">
        <f>M180-O180</f>
        <v>-5949.2873727652477</v>
      </c>
    </row>
    <row r="181" spans="1:16">
      <c r="A181" s="4" t="s">
        <v>58</v>
      </c>
      <c r="B181" s="6">
        <v>45748</v>
      </c>
      <c r="C181" s="4" t="s">
        <v>20</v>
      </c>
      <c r="D181" s="4" t="s">
        <v>16</v>
      </c>
      <c r="E181" s="4">
        <v>60322.400000000001</v>
      </c>
      <c r="F181" s="4">
        <v>3350</v>
      </c>
      <c r="G181" s="4">
        <v>0.108</v>
      </c>
      <c r="H181" s="4">
        <v>12</v>
      </c>
      <c r="I181" s="4">
        <v>89.4</v>
      </c>
      <c r="J181" s="4">
        <v>4.92</v>
      </c>
      <c r="K181" s="4">
        <v>0</v>
      </c>
      <c r="L181" s="4">
        <v>3.4</v>
      </c>
      <c r="M181" s="4">
        <v>570964.84</v>
      </c>
      <c r="N181" s="4">
        <v>81331.070000000007</v>
      </c>
      <c r="O181">
        <f>396109.2647+(1.143827975*E181)+(33.53435949*F181)</f>
        <v>577447.81763064</v>
      </c>
      <c r="P181">
        <f>M181-O181</f>
        <v>-6482.9776306400308</v>
      </c>
    </row>
    <row r="182" spans="1:16">
      <c r="A182" s="4" t="s">
        <v>49</v>
      </c>
      <c r="B182" s="6">
        <v>45658</v>
      </c>
      <c r="C182" s="4" t="s">
        <v>15</v>
      </c>
      <c r="D182" s="4" t="s">
        <v>28</v>
      </c>
      <c r="E182" s="4">
        <v>75265.02</v>
      </c>
      <c r="F182" s="4">
        <v>6975</v>
      </c>
      <c r="G182" s="4">
        <v>0.157</v>
      </c>
      <c r="H182" s="4">
        <v>20</v>
      </c>
      <c r="I182" s="4">
        <v>73.8</v>
      </c>
      <c r="J182" s="4">
        <v>6.35</v>
      </c>
      <c r="K182" s="4">
        <v>1</v>
      </c>
      <c r="L182" s="4">
        <v>3.8</v>
      </c>
      <c r="M182" s="4">
        <v>709478.39</v>
      </c>
      <c r="N182" s="4">
        <v>71294.27</v>
      </c>
      <c r="O182">
        <f>396109.2647+(1.143827975*E182)+(33.53435949*F182)</f>
        <v>716101.65755768446</v>
      </c>
      <c r="P182">
        <f>M182-O182</f>
        <v>-6623.2675576844485</v>
      </c>
    </row>
    <row r="183" spans="1:16">
      <c r="A183" s="4" t="s">
        <v>95</v>
      </c>
      <c r="B183" s="6">
        <v>45717</v>
      </c>
      <c r="C183" s="4" t="s">
        <v>27</v>
      </c>
      <c r="D183" s="4" t="s">
        <v>18</v>
      </c>
      <c r="E183" s="4">
        <v>59825.51</v>
      </c>
      <c r="F183" s="4">
        <v>1231</v>
      </c>
      <c r="G183" s="4">
        <v>0.214</v>
      </c>
      <c r="H183" s="4">
        <v>10</v>
      </c>
      <c r="I183" s="4">
        <v>84.8</v>
      </c>
      <c r="J183" s="4">
        <v>8.9600000000000009</v>
      </c>
      <c r="K183" s="4">
        <v>0</v>
      </c>
      <c r="L183" s="4">
        <v>4.7</v>
      </c>
      <c r="M183" s="4">
        <v>498970.32</v>
      </c>
      <c r="N183" s="4">
        <v>69656.7</v>
      </c>
      <c r="O183">
        <f>396109.2647+(1.143827975*E183)+(33.53435949*F183)</f>
        <v>505820.15318883228</v>
      </c>
      <c r="P183">
        <f>M183-O183</f>
        <v>-6849.8331888322718</v>
      </c>
    </row>
    <row r="184" spans="1:16">
      <c r="A184" s="4" t="s">
        <v>84</v>
      </c>
      <c r="B184" s="6">
        <v>45748</v>
      </c>
      <c r="C184" s="4" t="s">
        <v>20</v>
      </c>
      <c r="D184" s="4" t="s">
        <v>18</v>
      </c>
      <c r="E184" s="4">
        <v>97480.94</v>
      </c>
      <c r="F184" s="4">
        <v>6840</v>
      </c>
      <c r="G184" s="4">
        <v>8.6999999999999994E-2</v>
      </c>
      <c r="H184" s="4">
        <v>14</v>
      </c>
      <c r="I184" s="4">
        <v>79.2</v>
      </c>
      <c r="J184" s="4">
        <v>1.1399999999999999</v>
      </c>
      <c r="K184" s="4">
        <v>0</v>
      </c>
      <c r="L184" s="4">
        <v>4</v>
      </c>
      <c r="M184" s="4">
        <v>729440.45</v>
      </c>
      <c r="N184" s="4">
        <v>87614.29</v>
      </c>
      <c r="O184">
        <f>396109.2647+(1.143827975*E184)+(33.53435949*F184)</f>
        <v>736985.70981289656</v>
      </c>
      <c r="P184">
        <f>M184-O184</f>
        <v>-7545.2598128966056</v>
      </c>
    </row>
    <row r="185" spans="1:16">
      <c r="A185" s="4" t="s">
        <v>75</v>
      </c>
      <c r="B185" s="6">
        <v>45717</v>
      </c>
      <c r="C185" s="4" t="s">
        <v>27</v>
      </c>
      <c r="D185" s="4" t="s">
        <v>16</v>
      </c>
      <c r="E185" s="4">
        <v>35296.54</v>
      </c>
      <c r="F185" s="4">
        <v>9644</v>
      </c>
      <c r="G185" s="4">
        <v>0</v>
      </c>
      <c r="H185" s="4">
        <v>22</v>
      </c>
      <c r="I185" s="4">
        <v>88</v>
      </c>
      <c r="J185" s="4">
        <v>2.81</v>
      </c>
      <c r="K185" s="4">
        <v>0</v>
      </c>
      <c r="L185" s="4">
        <v>4.7</v>
      </c>
      <c r="M185" s="4">
        <v>752321.72</v>
      </c>
      <c r="N185" s="4">
        <v>137788.51</v>
      </c>
      <c r="O185">
        <f>396109.2647+(1.143827975*E185)+(33.53435949*F185)</f>
        <v>759887.79749426653</v>
      </c>
      <c r="P185">
        <f>M185-O185</f>
        <v>-7566.0774942665594</v>
      </c>
    </row>
    <row r="186" spans="1:16">
      <c r="A186" s="4" t="s">
        <v>91</v>
      </c>
      <c r="B186" s="6">
        <v>45717</v>
      </c>
      <c r="C186" s="4" t="s">
        <v>24</v>
      </c>
      <c r="D186" s="4" t="s">
        <v>16</v>
      </c>
      <c r="E186" s="4">
        <v>48609.41</v>
      </c>
      <c r="F186" s="4">
        <v>9324</v>
      </c>
      <c r="G186" s="4">
        <v>0.21299999999999999</v>
      </c>
      <c r="H186" s="4">
        <v>18</v>
      </c>
      <c r="I186" s="4">
        <v>86.5</v>
      </c>
      <c r="J186" s="4">
        <v>1.44</v>
      </c>
      <c r="K186" s="4">
        <v>0</v>
      </c>
      <c r="L186" s="4">
        <v>3.9</v>
      </c>
      <c r="M186" s="4">
        <v>756619.77</v>
      </c>
      <c r="N186" s="4">
        <v>112057.69</v>
      </c>
      <c r="O186">
        <f>396109.2647+(1.143827975*E186)+(33.53435949*F186)</f>
        <v>764384.43559100479</v>
      </c>
      <c r="P186">
        <f>M186-O186</f>
        <v>-7764.6655910047702</v>
      </c>
    </row>
    <row r="187" spans="1:16">
      <c r="A187" s="4" t="s">
        <v>67</v>
      </c>
      <c r="B187" s="6">
        <v>45689</v>
      </c>
      <c r="C187" s="4" t="s">
        <v>27</v>
      </c>
      <c r="D187" s="4" t="s">
        <v>16</v>
      </c>
      <c r="E187" s="4">
        <v>45209.25</v>
      </c>
      <c r="F187" s="4">
        <v>9287</v>
      </c>
      <c r="G187" s="4">
        <v>0.14099999999999999</v>
      </c>
      <c r="H187" s="4">
        <v>22</v>
      </c>
      <c r="I187" s="4">
        <v>86.4</v>
      </c>
      <c r="J187" s="4">
        <v>13.22</v>
      </c>
      <c r="K187" s="4">
        <v>0</v>
      </c>
      <c r="L187" s="4">
        <v>3.6</v>
      </c>
      <c r="M187" s="4">
        <v>751393.88</v>
      </c>
      <c r="N187" s="4">
        <v>91480.320000000007</v>
      </c>
      <c r="O187">
        <f>396109.2647+(1.143827975*E187)+(33.53435949*F187)</f>
        <v>759254.46616239869</v>
      </c>
      <c r="P187">
        <f>M187-O187</f>
        <v>-7860.5861623986857</v>
      </c>
    </row>
    <row r="188" spans="1:16">
      <c r="A188" s="4" t="s">
        <v>90</v>
      </c>
      <c r="B188" s="6">
        <v>45717</v>
      </c>
      <c r="C188" s="4" t="s">
        <v>27</v>
      </c>
      <c r="D188" s="4" t="s">
        <v>18</v>
      </c>
      <c r="E188" s="4">
        <v>47648.71</v>
      </c>
      <c r="F188" s="4">
        <v>5767</v>
      </c>
      <c r="G188" s="4">
        <v>0.14099999999999999</v>
      </c>
      <c r="H188" s="4">
        <v>17</v>
      </c>
      <c r="I188" s="4">
        <v>89.8</v>
      </c>
      <c r="J188" s="4">
        <v>1.76</v>
      </c>
      <c r="K188" s="4">
        <v>0</v>
      </c>
      <c r="L188" s="4">
        <v>3.1</v>
      </c>
      <c r="M188" s="4">
        <v>635837.74</v>
      </c>
      <c r="N188" s="4">
        <v>114740.64</v>
      </c>
      <c r="O188">
        <f>396109.2647+(1.143827975*E188)+(33.53435949*F188)</f>
        <v>644003.84334949218</v>
      </c>
      <c r="P188">
        <f>M188-O188</f>
        <v>-8166.1033494921867</v>
      </c>
    </row>
    <row r="189" spans="1:16">
      <c r="A189" s="4" t="s">
        <v>89</v>
      </c>
      <c r="B189" s="6">
        <v>45717</v>
      </c>
      <c r="C189" s="4" t="s">
        <v>15</v>
      </c>
      <c r="D189" s="4" t="s">
        <v>28</v>
      </c>
      <c r="E189" s="4">
        <v>61995.3</v>
      </c>
      <c r="F189" s="4">
        <v>10192</v>
      </c>
      <c r="G189" s="4">
        <v>0.19800000000000001</v>
      </c>
      <c r="H189" s="4">
        <v>21</v>
      </c>
      <c r="I189" s="4">
        <v>87.6</v>
      </c>
      <c r="J189" s="4">
        <v>3.63</v>
      </c>
      <c r="K189" s="4">
        <v>1</v>
      </c>
      <c r="L189" s="4">
        <v>3.8</v>
      </c>
      <c r="M189" s="4">
        <v>799756.46</v>
      </c>
      <c r="N189" s="4">
        <v>105052.93</v>
      </c>
      <c r="O189">
        <f>396109.2647+(1.143827975*E189)+(33.53435949*F189)</f>
        <v>808803.41508059751</v>
      </c>
      <c r="P189">
        <f>M189-O189</f>
        <v>-9046.955080597545</v>
      </c>
    </row>
    <row r="190" spans="1:16">
      <c r="A190" s="4" t="s">
        <v>43</v>
      </c>
      <c r="B190" s="6">
        <v>45748</v>
      </c>
      <c r="C190" s="4" t="s">
        <v>27</v>
      </c>
      <c r="D190" s="4" t="s">
        <v>18</v>
      </c>
      <c r="E190" s="4">
        <v>18996.32</v>
      </c>
      <c r="F190" s="4">
        <v>1260</v>
      </c>
      <c r="G190" s="4">
        <v>0.14499999999999999</v>
      </c>
      <c r="H190" s="4">
        <v>9</v>
      </c>
      <c r="I190" s="4">
        <v>86.4</v>
      </c>
      <c r="J190" s="4">
        <v>4.3099999999999996</v>
      </c>
      <c r="K190" s="4">
        <v>0</v>
      </c>
      <c r="L190" s="4">
        <v>4.5999999999999996</v>
      </c>
      <c r="M190" s="4">
        <v>450711.92</v>
      </c>
      <c r="N190" s="4">
        <v>90043.76</v>
      </c>
      <c r="O190">
        <f>396109.2647+(1.143827975*E190)+(33.53435949*F190)</f>
        <v>460091.07989545201</v>
      </c>
      <c r="P190">
        <f>M190-O190</f>
        <v>-9379.1598954520305</v>
      </c>
    </row>
    <row r="191" spans="1:16">
      <c r="A191" s="4" t="s">
        <v>70</v>
      </c>
      <c r="B191" s="6">
        <v>45717</v>
      </c>
      <c r="C191" s="4" t="s">
        <v>27</v>
      </c>
      <c r="D191" s="4" t="s">
        <v>16</v>
      </c>
      <c r="E191" s="4">
        <v>40220.18</v>
      </c>
      <c r="F191" s="4">
        <v>3783</v>
      </c>
      <c r="G191" s="4">
        <v>8.8999999999999996E-2</v>
      </c>
      <c r="H191" s="4">
        <v>14</v>
      </c>
      <c r="I191" s="4">
        <v>86.6</v>
      </c>
      <c r="J191" s="4">
        <v>3.63</v>
      </c>
      <c r="K191" s="4">
        <v>0</v>
      </c>
      <c r="L191" s="4">
        <v>3.7</v>
      </c>
      <c r="M191" s="4">
        <v>559422.02</v>
      </c>
      <c r="N191" s="4">
        <v>73528.740000000005</v>
      </c>
      <c r="O191">
        <f>396109.2647+(1.143827975*E191)+(33.53435949*F191)</f>
        <v>568974.71369420551</v>
      </c>
      <c r="P191">
        <f>M191-O191</f>
        <v>-9552.693694205489</v>
      </c>
    </row>
    <row r="192" spans="1:16">
      <c r="A192" s="4" t="s">
        <v>37</v>
      </c>
      <c r="B192" s="6">
        <v>45717</v>
      </c>
      <c r="C192" s="4" t="s">
        <v>24</v>
      </c>
      <c r="D192" s="4" t="s">
        <v>18</v>
      </c>
      <c r="E192" s="4">
        <v>50343.19</v>
      </c>
      <c r="F192" s="4">
        <v>3845</v>
      </c>
      <c r="G192" s="4">
        <v>0.113</v>
      </c>
      <c r="H192" s="4">
        <v>9</v>
      </c>
      <c r="I192" s="4">
        <v>88.7</v>
      </c>
      <c r="J192" s="4">
        <v>5.15</v>
      </c>
      <c r="K192" s="4">
        <v>0</v>
      </c>
      <c r="L192" s="4">
        <v>3.3</v>
      </c>
      <c r="M192" s="4">
        <v>572011.19999999995</v>
      </c>
      <c r="N192" s="4">
        <v>101409.68</v>
      </c>
      <c r="O192">
        <f>396109.2647+(1.143827975*E192)+(33.53435949*F192)</f>
        <v>582632.82601179031</v>
      </c>
      <c r="P192">
        <f>M192-O192</f>
        <v>-10621.626011790358</v>
      </c>
    </row>
    <row r="193" spans="1:16">
      <c r="A193" s="4" t="s">
        <v>80</v>
      </c>
      <c r="B193" s="6">
        <v>45717</v>
      </c>
      <c r="C193" s="4" t="s">
        <v>27</v>
      </c>
      <c r="D193" s="4" t="s">
        <v>16</v>
      </c>
      <c r="E193" s="4">
        <v>62582.71</v>
      </c>
      <c r="F193" s="4">
        <v>5479</v>
      </c>
      <c r="G193" s="4">
        <v>4.8000000000000001E-2</v>
      </c>
      <c r="H193" s="4">
        <v>16</v>
      </c>
      <c r="I193" s="4">
        <v>81.2</v>
      </c>
      <c r="J193" s="4">
        <v>1.46</v>
      </c>
      <c r="K193" s="4">
        <v>0</v>
      </c>
      <c r="L193" s="4">
        <v>4.5</v>
      </c>
      <c r="M193" s="4">
        <v>640666.53</v>
      </c>
      <c r="N193" s="4">
        <v>134919.16</v>
      </c>
      <c r="O193">
        <f>396109.2647+(1.143827975*E193)+(33.53435949*F193)</f>
        <v>651427.87479502219</v>
      </c>
      <c r="P193">
        <f>M193-O193</f>
        <v>-10761.34479502216</v>
      </c>
    </row>
    <row r="194" spans="1:16">
      <c r="A194" s="4" t="s">
        <v>61</v>
      </c>
      <c r="B194" s="6">
        <v>45658</v>
      </c>
      <c r="C194" s="4" t="s">
        <v>20</v>
      </c>
      <c r="D194" s="4" t="s">
        <v>28</v>
      </c>
      <c r="E194" s="4">
        <v>86883.31</v>
      </c>
      <c r="F194" s="4">
        <v>6424</v>
      </c>
      <c r="G194" s="4">
        <v>5.7000000000000002E-2</v>
      </c>
      <c r="H194" s="4">
        <v>19</v>
      </c>
      <c r="I194" s="4">
        <v>85.2</v>
      </c>
      <c r="J194" s="4">
        <v>3.08</v>
      </c>
      <c r="K194" s="4">
        <v>0</v>
      </c>
      <c r="L194" s="4">
        <v>3.9</v>
      </c>
      <c r="M194" s="4">
        <v>700078.32</v>
      </c>
      <c r="N194" s="4">
        <v>123707.58</v>
      </c>
      <c r="O194">
        <f>396109.2647+(1.143827975*E194)+(33.53435949*F194)</f>
        <v>710913.55060235725</v>
      </c>
      <c r="P194">
        <f>M194-O194</f>
        <v>-10835.230602357304</v>
      </c>
    </row>
    <row r="195" spans="1:16">
      <c r="A195" s="4" t="s">
        <v>29</v>
      </c>
      <c r="B195" s="6">
        <v>45689</v>
      </c>
      <c r="C195" s="4" t="s">
        <v>15</v>
      </c>
      <c r="D195" s="4" t="s">
        <v>16</v>
      </c>
      <c r="E195" s="4">
        <v>63176.73</v>
      </c>
      <c r="F195" s="4">
        <v>2390</v>
      </c>
      <c r="G195" s="4">
        <v>0.216</v>
      </c>
      <c r="H195" s="4">
        <v>9</v>
      </c>
      <c r="I195" s="4">
        <v>87.5</v>
      </c>
      <c r="J195" s="4">
        <v>0.31</v>
      </c>
      <c r="K195" s="4">
        <v>0</v>
      </c>
      <c r="L195" s="4">
        <v>3.1</v>
      </c>
      <c r="M195" s="4">
        <v>537383.79</v>
      </c>
      <c r="N195" s="4">
        <v>63773.27</v>
      </c>
      <c r="O195">
        <f>396109.2647+(1.143827975*E195)+(33.53435949*F195)</f>
        <v>548519.69502412179</v>
      </c>
      <c r="P195">
        <f>M195-O195</f>
        <v>-11135.905024121748</v>
      </c>
    </row>
    <row r="196" spans="1:16">
      <c r="A196" s="4" t="s">
        <v>49</v>
      </c>
      <c r="B196" s="6">
        <v>45717</v>
      </c>
      <c r="C196" s="4" t="s">
        <v>15</v>
      </c>
      <c r="D196" s="4" t="s">
        <v>28</v>
      </c>
      <c r="E196" s="4">
        <v>51056.15</v>
      </c>
      <c r="F196" s="4">
        <v>5686</v>
      </c>
      <c r="G196" s="4">
        <v>8.8999999999999996E-2</v>
      </c>
      <c r="H196" s="4">
        <v>13</v>
      </c>
      <c r="I196" s="4">
        <v>89.9</v>
      </c>
      <c r="J196" s="4">
        <v>1.28</v>
      </c>
      <c r="K196" s="4">
        <v>0</v>
      </c>
      <c r="L196" s="4">
        <v>4.2</v>
      </c>
      <c r="M196" s="4">
        <v>633494.21</v>
      </c>
      <c r="N196" s="4">
        <v>105739.47</v>
      </c>
      <c r="O196">
        <f>396109.2647+(1.143827975*E196)+(33.53435949*F196)</f>
        <v>645185.08542593627</v>
      </c>
      <c r="P196">
        <f>M196-O196</f>
        <v>-11690.875425936305</v>
      </c>
    </row>
    <row r="197" spans="1:16">
      <c r="A197" s="4" t="s">
        <v>19</v>
      </c>
      <c r="B197" s="6">
        <v>45689</v>
      </c>
      <c r="C197" s="4" t="s">
        <v>20</v>
      </c>
      <c r="D197" s="4" t="s">
        <v>21</v>
      </c>
      <c r="E197" s="4">
        <v>68133.440000000002</v>
      </c>
      <c r="F197" s="4">
        <v>9459</v>
      </c>
      <c r="G197" s="4">
        <v>0.22</v>
      </c>
      <c r="H197" s="4">
        <v>21</v>
      </c>
      <c r="I197" s="4">
        <v>85</v>
      </c>
      <c r="J197" s="4">
        <v>1.91</v>
      </c>
      <c r="K197" s="4">
        <v>0</v>
      </c>
      <c r="L197" s="4">
        <v>4.2</v>
      </c>
      <c r="M197" s="4">
        <v>779010.94</v>
      </c>
      <c r="N197" s="4">
        <v>106328.09</v>
      </c>
      <c r="O197">
        <f>396109.2647+(1.143827975*E197)+(33.53435949*F197)</f>
        <v>791243.70582089399</v>
      </c>
      <c r="P197">
        <f>M197-O197</f>
        <v>-12232.765820894041</v>
      </c>
    </row>
    <row r="198" spans="1:16">
      <c r="A198" s="4" t="s">
        <v>65</v>
      </c>
      <c r="B198" s="6">
        <v>45748</v>
      </c>
      <c r="C198" s="4" t="s">
        <v>15</v>
      </c>
      <c r="D198" s="4" t="s">
        <v>16</v>
      </c>
      <c r="E198" s="4">
        <v>63043.94</v>
      </c>
      <c r="F198" s="4">
        <v>10402</v>
      </c>
      <c r="G198" s="4">
        <v>0.159</v>
      </c>
      <c r="H198" s="4">
        <v>23</v>
      </c>
      <c r="I198" s="4">
        <v>93.9</v>
      </c>
      <c r="J198" s="4">
        <v>2.71</v>
      </c>
      <c r="K198" s="4">
        <v>0</v>
      </c>
      <c r="L198" s="4">
        <v>3.1</v>
      </c>
      <c r="M198" s="4">
        <v>804264</v>
      </c>
      <c r="N198" s="4">
        <v>167117.91</v>
      </c>
      <c r="O198">
        <f>396109.2647+(1.143827975*E198)+(33.53435949*F198)</f>
        <v>817045.09434120147</v>
      </c>
      <c r="P198">
        <f>M198-O198</f>
        <v>-12781.094341201475</v>
      </c>
    </row>
    <row r="199" spans="1:16">
      <c r="A199" s="4" t="s">
        <v>97</v>
      </c>
      <c r="B199" s="6">
        <v>45689</v>
      </c>
      <c r="C199" s="4" t="s">
        <v>20</v>
      </c>
      <c r="D199" s="4" t="s">
        <v>28</v>
      </c>
      <c r="E199" s="4">
        <v>63986.98</v>
      </c>
      <c r="F199" s="4">
        <v>7989</v>
      </c>
      <c r="G199" s="4">
        <v>7.3999999999999996E-2</v>
      </c>
      <c r="H199" s="4">
        <v>20</v>
      </c>
      <c r="I199" s="4">
        <v>83.3</v>
      </c>
      <c r="J199" s="4">
        <v>3.6</v>
      </c>
      <c r="K199" s="4">
        <v>0</v>
      </c>
      <c r="L199" s="4">
        <v>3.7</v>
      </c>
      <c r="M199" s="4">
        <v>724346.73</v>
      </c>
      <c r="N199" s="4">
        <v>155013.91</v>
      </c>
      <c r="O199">
        <f>396109.2647+(1.143827975*E199)+(33.53435949*F199)</f>
        <v>737205.36042537552</v>
      </c>
      <c r="P199">
        <f>M199-O199</f>
        <v>-12858.630425375537</v>
      </c>
    </row>
    <row r="200" spans="1:16">
      <c r="A200" s="4" t="s">
        <v>83</v>
      </c>
      <c r="B200" s="6">
        <v>45748</v>
      </c>
      <c r="C200" s="4" t="s">
        <v>15</v>
      </c>
      <c r="D200" s="4" t="s">
        <v>18</v>
      </c>
      <c r="E200" s="4">
        <v>21536.18</v>
      </c>
      <c r="F200" s="4">
        <v>8119</v>
      </c>
      <c r="G200" s="4">
        <v>0.22700000000000001</v>
      </c>
      <c r="H200" s="4">
        <v>20</v>
      </c>
      <c r="I200" s="4">
        <v>90.4</v>
      </c>
      <c r="J200" s="4">
        <v>1.7</v>
      </c>
      <c r="K200" s="4">
        <v>0</v>
      </c>
      <c r="L200" s="4">
        <v>3.3</v>
      </c>
      <c r="M200" s="4">
        <v>679888.74</v>
      </c>
      <c r="N200" s="4">
        <v>83406.89</v>
      </c>
      <c r="O200">
        <f>396109.2647+(1.143827975*E200)+(33.53435949*F200)</f>
        <v>693008.41455794545</v>
      </c>
      <c r="P200">
        <f>M200-O200</f>
        <v>-13119.674557945458</v>
      </c>
    </row>
    <row r="201" spans="1:16">
      <c r="A201" s="4" t="s">
        <v>55</v>
      </c>
      <c r="B201" s="6">
        <v>45748</v>
      </c>
      <c r="C201" s="4" t="s">
        <v>20</v>
      </c>
      <c r="D201" s="4" t="s">
        <v>18</v>
      </c>
      <c r="E201" s="4">
        <v>70366.759999999995</v>
      </c>
      <c r="F201" s="4">
        <v>1963</v>
      </c>
      <c r="G201" s="4">
        <v>0.182</v>
      </c>
      <c r="H201" s="4">
        <v>8</v>
      </c>
      <c r="I201" s="4">
        <v>89.8</v>
      </c>
      <c r="J201" s="4">
        <v>3.2</v>
      </c>
      <c r="K201" s="4">
        <v>0</v>
      </c>
      <c r="L201" s="4">
        <v>4.5999999999999996</v>
      </c>
      <c r="M201" s="4">
        <v>529075.94999999995</v>
      </c>
      <c r="N201" s="4">
        <v>95978.83</v>
      </c>
      <c r="O201">
        <f>396109.2647+(1.143827975*E201)+(33.53435949*F201)</f>
        <v>542424.68097698106</v>
      </c>
      <c r="P201">
        <f>M201-O201</f>
        <v>-13348.730976981111</v>
      </c>
    </row>
    <row r="202" spans="1:16">
      <c r="A202" s="4" t="s">
        <v>25</v>
      </c>
      <c r="B202" s="6">
        <v>45689</v>
      </c>
      <c r="C202" s="4" t="s">
        <v>20</v>
      </c>
      <c r="D202" s="4" t="s">
        <v>16</v>
      </c>
      <c r="E202" s="4">
        <v>33518.879999999997</v>
      </c>
      <c r="F202" s="4">
        <v>2121</v>
      </c>
      <c r="G202" s="4">
        <v>0.17599999999999999</v>
      </c>
      <c r="H202" s="4">
        <v>8</v>
      </c>
      <c r="I202" s="4">
        <v>88.5</v>
      </c>
      <c r="J202" s="4">
        <v>0.2</v>
      </c>
      <c r="K202" s="4">
        <v>0</v>
      </c>
      <c r="L202" s="4">
        <v>5</v>
      </c>
      <c r="M202" s="4">
        <v>491905.13</v>
      </c>
      <c r="N202" s="4">
        <v>79212.259999999995</v>
      </c>
      <c r="O202">
        <f>396109.2647+(1.143827975*E202)+(33.53435949*F202)</f>
        <v>505575.47381295799</v>
      </c>
      <c r="P202">
        <f>M202-O202</f>
        <v>-13670.343812957988</v>
      </c>
    </row>
    <row r="203" spans="1:16">
      <c r="A203" s="4" t="s">
        <v>96</v>
      </c>
      <c r="B203" s="6">
        <v>45717</v>
      </c>
      <c r="C203" s="4" t="s">
        <v>27</v>
      </c>
      <c r="D203" s="4" t="s">
        <v>18</v>
      </c>
      <c r="E203" s="4">
        <v>46174.7</v>
      </c>
      <c r="F203" s="4">
        <v>4898</v>
      </c>
      <c r="G203" s="4">
        <v>0.114</v>
      </c>
      <c r="H203" s="4">
        <v>11</v>
      </c>
      <c r="I203" s="4">
        <v>91.7</v>
      </c>
      <c r="J203" s="4">
        <v>3.75</v>
      </c>
      <c r="K203" s="4">
        <v>0</v>
      </c>
      <c r="L203" s="4">
        <v>3.1</v>
      </c>
      <c r="M203" s="4">
        <v>599017.32999999996</v>
      </c>
      <c r="N203" s="4">
        <v>134009.92000000001</v>
      </c>
      <c r="O203">
        <f>396109.2647+(1.143827975*E203)+(33.53435949*F203)</f>
        <v>613176.47107925243</v>
      </c>
      <c r="P203">
        <f>M203-O203</f>
        <v>-14159.141079252469</v>
      </c>
    </row>
    <row r="204" spans="1:16">
      <c r="A204" s="4" t="s">
        <v>93</v>
      </c>
      <c r="B204" s="6">
        <v>45658</v>
      </c>
      <c r="C204" s="4" t="s">
        <v>27</v>
      </c>
      <c r="D204" s="4" t="s">
        <v>16</v>
      </c>
      <c r="E204" s="4">
        <v>60183.06</v>
      </c>
      <c r="F204" s="4">
        <v>5562</v>
      </c>
      <c r="G204" s="4">
        <v>8.9999999999999993E-3</v>
      </c>
      <c r="H204" s="4">
        <v>13</v>
      </c>
      <c r="I204" s="4">
        <v>86.3</v>
      </c>
      <c r="J204" s="4">
        <v>0.2</v>
      </c>
      <c r="K204" s="4">
        <v>1</v>
      </c>
      <c r="L204" s="4">
        <v>4.5</v>
      </c>
      <c r="M204" s="4">
        <v>636775.66</v>
      </c>
      <c r="N204" s="4">
        <v>122636.86</v>
      </c>
      <c r="O204">
        <f>396109.2647+(1.143827975*E204)+(33.53435949*F204)</f>
        <v>651466.43983248353</v>
      </c>
      <c r="P204">
        <f>M204-O204</f>
        <v>-14690.779832483502</v>
      </c>
    </row>
    <row r="205" spans="1:16">
      <c r="A205" s="4" t="s">
        <v>23</v>
      </c>
      <c r="B205" s="6">
        <v>45748</v>
      </c>
      <c r="C205" s="4" t="s">
        <v>24</v>
      </c>
      <c r="D205" s="4" t="s">
        <v>16</v>
      </c>
      <c r="E205" s="4">
        <v>41441.93</v>
      </c>
      <c r="F205" s="4">
        <v>4865</v>
      </c>
      <c r="G205" s="4">
        <v>0.158</v>
      </c>
      <c r="H205" s="4">
        <v>16</v>
      </c>
      <c r="I205" s="4">
        <v>88.3</v>
      </c>
      <c r="J205" s="4">
        <v>0.5</v>
      </c>
      <c r="K205" s="4">
        <v>0</v>
      </c>
      <c r="L205" s="4">
        <v>4</v>
      </c>
      <c r="M205" s="4">
        <v>591619.94999999995</v>
      </c>
      <c r="N205" s="4">
        <v>99521.35</v>
      </c>
      <c r="O205">
        <f>396109.2647+(1.143827975*E205)+(33.53435949*F205)</f>
        <v>606656.36249084177</v>
      </c>
      <c r="P205">
        <f>M205-O205</f>
        <v>-15036.412490841816</v>
      </c>
    </row>
    <row r="206" spans="1:16">
      <c r="A206" s="4" t="s">
        <v>22</v>
      </c>
      <c r="B206" s="6">
        <v>45748</v>
      </c>
      <c r="C206" s="4" t="s">
        <v>15</v>
      </c>
      <c r="D206" s="4" t="s">
        <v>16</v>
      </c>
      <c r="E206" s="4">
        <v>75305.710000000006</v>
      </c>
      <c r="F206" s="4">
        <v>10940</v>
      </c>
      <c r="G206" s="4">
        <v>6.0000000000000001E-3</v>
      </c>
      <c r="H206" s="4">
        <v>26</v>
      </c>
      <c r="I206" s="4">
        <v>76.5</v>
      </c>
      <c r="J206" s="4">
        <v>1.32</v>
      </c>
      <c r="K206" s="4">
        <v>0</v>
      </c>
      <c r="L206" s="4">
        <v>4.5</v>
      </c>
      <c r="M206" s="4">
        <v>834017.02</v>
      </c>
      <c r="N206" s="4">
        <v>114745.03</v>
      </c>
      <c r="O206">
        <f>396109.2647+(1.143827975*E206)+(33.53435949*F206)</f>
        <v>849111.93529583723</v>
      </c>
      <c r="P206">
        <f>M206-O206</f>
        <v>-15094.915295837214</v>
      </c>
    </row>
    <row r="207" spans="1:16">
      <c r="A207" s="4" t="s">
        <v>70</v>
      </c>
      <c r="B207" s="6">
        <v>45689</v>
      </c>
      <c r="C207" s="4" t="s">
        <v>27</v>
      </c>
      <c r="D207" s="4" t="s">
        <v>16</v>
      </c>
      <c r="E207" s="4">
        <v>51133.43</v>
      </c>
      <c r="F207" s="4">
        <v>5150</v>
      </c>
      <c r="G207" s="4">
        <v>0.15</v>
      </c>
      <c r="H207" s="4">
        <v>12</v>
      </c>
      <c r="I207" s="4">
        <v>88.5</v>
      </c>
      <c r="J207" s="4">
        <v>1.54</v>
      </c>
      <c r="K207" s="4">
        <v>0</v>
      </c>
      <c r="L207" s="4">
        <v>3.2</v>
      </c>
      <c r="M207" s="4">
        <v>611924.27</v>
      </c>
      <c r="N207" s="4">
        <v>115488.75</v>
      </c>
      <c r="O207">
        <f>396109.2647+(1.143827975*E207)+(33.53435949*F207)</f>
        <v>627299.06376520428</v>
      </c>
      <c r="P207">
        <f>M207-O207</f>
        <v>-15374.79376520426</v>
      </c>
    </row>
    <row r="208" spans="1:16">
      <c r="A208" s="4" t="s">
        <v>64</v>
      </c>
      <c r="B208" s="6">
        <v>45748</v>
      </c>
      <c r="C208" s="4" t="s">
        <v>15</v>
      </c>
      <c r="D208" s="4" t="s">
        <v>16</v>
      </c>
      <c r="E208" s="4">
        <v>36606.51</v>
      </c>
      <c r="F208" s="4">
        <v>7671</v>
      </c>
      <c r="G208" s="4">
        <v>0.11799999999999999</v>
      </c>
      <c r="H208" s="4">
        <v>18</v>
      </c>
      <c r="I208" s="4">
        <v>89.8</v>
      </c>
      <c r="J208" s="4">
        <v>0.25</v>
      </c>
      <c r="K208" s="4">
        <v>0</v>
      </c>
      <c r="L208" s="4">
        <v>4.4000000000000004</v>
      </c>
      <c r="M208" s="4">
        <v>679731.57</v>
      </c>
      <c r="N208" s="4">
        <v>121546.42</v>
      </c>
      <c r="O208">
        <f>396109.2647+(1.143827975*E208)+(33.53435949*F208)</f>
        <v>695222.88655290729</v>
      </c>
      <c r="P208">
        <f>M208-O208</f>
        <v>-15491.316552907345</v>
      </c>
    </row>
    <row r="209" spans="1:16">
      <c r="A209" s="4" t="s">
        <v>97</v>
      </c>
      <c r="B209" s="6">
        <v>45658</v>
      </c>
      <c r="C209" s="4" t="s">
        <v>20</v>
      </c>
      <c r="D209" s="4" t="s">
        <v>28</v>
      </c>
      <c r="E209" s="4">
        <v>40647.67</v>
      </c>
      <c r="F209" s="4">
        <v>8252</v>
      </c>
      <c r="G209" s="4">
        <v>0.14099999999999999</v>
      </c>
      <c r="H209" s="4">
        <v>22</v>
      </c>
      <c r="I209" s="4">
        <v>88.2</v>
      </c>
      <c r="J209" s="4">
        <v>5.07</v>
      </c>
      <c r="K209" s="4">
        <v>1</v>
      </c>
      <c r="L209" s="4">
        <v>4.0999999999999996</v>
      </c>
      <c r="M209" s="4">
        <v>703812.99</v>
      </c>
      <c r="N209" s="4">
        <v>133577.98000000001</v>
      </c>
      <c r="O209">
        <f>396109.2647+(1.143827975*E209)+(33.53435949*F209)</f>
        <v>719328.74127604824</v>
      </c>
      <c r="P209">
        <f>M209-O209</f>
        <v>-15515.75127604825</v>
      </c>
    </row>
    <row r="210" spans="1:16">
      <c r="A210" s="4" t="s">
        <v>99</v>
      </c>
      <c r="B210" s="6">
        <v>45658</v>
      </c>
      <c r="C210" s="4" t="s">
        <v>24</v>
      </c>
      <c r="D210" s="4" t="s">
        <v>18</v>
      </c>
      <c r="E210" s="4">
        <v>48465.599999999999</v>
      </c>
      <c r="F210" s="4">
        <v>5759</v>
      </c>
      <c r="G210" s="4">
        <v>0.154</v>
      </c>
      <c r="H210" s="4">
        <v>13</v>
      </c>
      <c r="I210" s="4">
        <v>87.5</v>
      </c>
      <c r="J210" s="4">
        <v>4.1399999999999997</v>
      </c>
      <c r="K210" s="4">
        <v>0</v>
      </c>
      <c r="L210" s="4">
        <v>4</v>
      </c>
      <c r="M210" s="4">
        <v>628538.30000000005</v>
      </c>
      <c r="N210" s="4">
        <v>112509.15</v>
      </c>
      <c r="O210">
        <f>396109.2647+(1.143827975*E210)+(33.53435949*F210)</f>
        <v>644669.95010807004</v>
      </c>
      <c r="P210">
        <f>M210-O210</f>
        <v>-16131.650108069996</v>
      </c>
    </row>
    <row r="211" spans="1:16">
      <c r="A211" s="4" t="s">
        <v>22</v>
      </c>
      <c r="B211" s="6">
        <v>45717</v>
      </c>
      <c r="C211" s="4" t="s">
        <v>15</v>
      </c>
      <c r="D211" s="4" t="s">
        <v>16</v>
      </c>
      <c r="E211" s="4">
        <v>59909.51</v>
      </c>
      <c r="F211" s="4">
        <v>8895</v>
      </c>
      <c r="G211" s="4">
        <v>0.22800000000000001</v>
      </c>
      <c r="H211" s="4">
        <v>23</v>
      </c>
      <c r="I211" s="4">
        <v>88.8</v>
      </c>
      <c r="J211" s="4">
        <v>0.27</v>
      </c>
      <c r="K211" s="4">
        <v>0</v>
      </c>
      <c r="L211" s="4">
        <v>4.3</v>
      </c>
      <c r="M211" s="4">
        <v>746501.09</v>
      </c>
      <c r="N211" s="4">
        <v>136816.72</v>
      </c>
      <c r="O211">
        <f>396109.2647+(1.143827975*E211)+(33.53435949*F211)</f>
        <v>762923.56587009225</v>
      </c>
      <c r="P211">
        <f>M211-O211</f>
        <v>-16422.475870092283</v>
      </c>
    </row>
    <row r="212" spans="1:16">
      <c r="A212" s="4" t="s">
        <v>74</v>
      </c>
      <c r="B212" s="6">
        <v>45748</v>
      </c>
      <c r="C212" s="4" t="s">
        <v>15</v>
      </c>
      <c r="D212" s="4" t="s">
        <v>18</v>
      </c>
      <c r="E212" s="4">
        <v>49405.75</v>
      </c>
      <c r="F212" s="4">
        <v>9752</v>
      </c>
      <c r="G212" s="4">
        <v>9.2999999999999999E-2</v>
      </c>
      <c r="H212" s="4">
        <v>21</v>
      </c>
      <c r="I212" s="4">
        <v>87</v>
      </c>
      <c r="J212" s="4">
        <v>12.28</v>
      </c>
      <c r="K212" s="4">
        <v>0</v>
      </c>
      <c r="L212" s="4">
        <v>4.0999999999999996</v>
      </c>
      <c r="M212" s="4">
        <v>761963.23</v>
      </c>
      <c r="N212" s="4">
        <v>150113.60999999999</v>
      </c>
      <c r="O212">
        <f>396109.2647+(1.143827975*E212)+(33.53435949*F212)</f>
        <v>779648.01742233615</v>
      </c>
      <c r="P212">
        <f>M212-O212</f>
        <v>-17684.787422336172</v>
      </c>
    </row>
    <row r="213" spans="1:16">
      <c r="A213" s="4" t="s">
        <v>53</v>
      </c>
      <c r="B213" s="6">
        <v>45748</v>
      </c>
      <c r="C213" s="4" t="s">
        <v>24</v>
      </c>
      <c r="D213" s="4" t="s">
        <v>18</v>
      </c>
      <c r="E213" s="4">
        <v>37828.5</v>
      </c>
      <c r="F213" s="4">
        <v>8221</v>
      </c>
      <c r="G213" s="4">
        <v>9.6000000000000002E-2</v>
      </c>
      <c r="H213" s="4">
        <v>19</v>
      </c>
      <c r="I213" s="4">
        <v>81.5</v>
      </c>
      <c r="J213" s="4">
        <v>3.19</v>
      </c>
      <c r="K213" s="4">
        <v>0</v>
      </c>
      <c r="L213" s="4">
        <v>4.8</v>
      </c>
      <c r="M213" s="4">
        <v>697155.3</v>
      </c>
      <c r="N213" s="4">
        <v>136408.54</v>
      </c>
      <c r="O213">
        <f>396109.2647+(1.143827975*E213)+(33.53435949*F213)</f>
        <v>715064.5306195775</v>
      </c>
      <c r="P213">
        <f>M213-O213</f>
        <v>-17909.230619577458</v>
      </c>
    </row>
    <row r="214" spans="1:16">
      <c r="A214" s="4" t="s">
        <v>50</v>
      </c>
      <c r="B214" s="6">
        <v>45748</v>
      </c>
      <c r="C214" s="4" t="s">
        <v>27</v>
      </c>
      <c r="D214" s="4" t="s">
        <v>28</v>
      </c>
      <c r="E214" s="4">
        <v>25990.54</v>
      </c>
      <c r="F214" s="4">
        <v>9249</v>
      </c>
      <c r="G214" s="4">
        <v>0.13900000000000001</v>
      </c>
      <c r="H214" s="4">
        <v>23</v>
      </c>
      <c r="I214" s="4">
        <v>92.5</v>
      </c>
      <c r="J214" s="4">
        <v>6.37</v>
      </c>
      <c r="K214" s="4">
        <v>0</v>
      </c>
      <c r="L214" s="4">
        <v>3.3</v>
      </c>
      <c r="M214" s="4">
        <v>718074.79</v>
      </c>
      <c r="N214" s="4">
        <v>115819.87</v>
      </c>
      <c r="O214">
        <f>396109.2647+(1.143827975*E214)+(33.53435949*F214)</f>
        <v>735997.26236036653</v>
      </c>
      <c r="P214">
        <f>M214-O214</f>
        <v>-17922.47236036649</v>
      </c>
    </row>
    <row r="215" spans="1:16">
      <c r="A215" s="4" t="s">
        <v>99</v>
      </c>
      <c r="B215" s="6">
        <v>45717</v>
      </c>
      <c r="C215" s="4" t="s">
        <v>24</v>
      </c>
      <c r="D215" s="4" t="s">
        <v>18</v>
      </c>
      <c r="E215" s="4">
        <v>54322.94</v>
      </c>
      <c r="F215" s="4">
        <v>5434</v>
      </c>
      <c r="G215" s="4">
        <v>0.2</v>
      </c>
      <c r="H215" s="4">
        <v>13</v>
      </c>
      <c r="I215" s="4">
        <v>85.7</v>
      </c>
      <c r="J215" s="4">
        <v>10.6</v>
      </c>
      <c r="K215" s="4">
        <v>0</v>
      </c>
      <c r="L215" s="4">
        <v>4.2</v>
      </c>
      <c r="M215" s="4">
        <v>621677.30000000005</v>
      </c>
      <c r="N215" s="4">
        <v>105192.52</v>
      </c>
      <c r="O215">
        <f>396109.2647+(1.143827975*E215)+(33.53435949*F215)</f>
        <v>640471.07262490643</v>
      </c>
      <c r="P215">
        <f>M215-O215</f>
        <v>-18793.772624906385</v>
      </c>
    </row>
    <row r="216" spans="1:16">
      <c r="A216" s="4" t="s">
        <v>33</v>
      </c>
      <c r="B216" s="6">
        <v>45689</v>
      </c>
      <c r="C216" s="4" t="s">
        <v>27</v>
      </c>
      <c r="D216" s="4" t="s">
        <v>16</v>
      </c>
      <c r="E216" s="4">
        <v>63630.21</v>
      </c>
      <c r="F216" s="4">
        <v>4460</v>
      </c>
      <c r="G216" s="4">
        <v>0.23499999999999999</v>
      </c>
      <c r="H216" s="4">
        <v>14</v>
      </c>
      <c r="I216" s="4">
        <v>98.6</v>
      </c>
      <c r="J216" s="4">
        <v>5.52</v>
      </c>
      <c r="K216" s="4">
        <v>0</v>
      </c>
      <c r="L216" s="4">
        <v>3.5</v>
      </c>
      <c r="M216" s="4">
        <v>599603.4</v>
      </c>
      <c r="N216" s="4">
        <v>112685.12</v>
      </c>
      <c r="O216">
        <f>396109.2647+(1.143827975*E216)+(33.53435949*F216)</f>
        <v>618454.5222785247</v>
      </c>
      <c r="P216">
        <f>M216-O216</f>
        <v>-18851.122278524679</v>
      </c>
    </row>
    <row r="217" spans="1:16">
      <c r="A217" s="4" t="s">
        <v>85</v>
      </c>
      <c r="B217" s="6">
        <v>45748</v>
      </c>
      <c r="C217" s="4" t="s">
        <v>24</v>
      </c>
      <c r="D217" s="4" t="s">
        <v>21</v>
      </c>
      <c r="E217" s="4">
        <v>36290.080000000002</v>
      </c>
      <c r="F217" s="4">
        <v>5787</v>
      </c>
      <c r="G217" s="4">
        <v>0</v>
      </c>
      <c r="H217" s="4">
        <v>17</v>
      </c>
      <c r="I217" s="4">
        <v>88.3</v>
      </c>
      <c r="J217" s="4">
        <v>4.1900000000000004</v>
      </c>
      <c r="K217" s="4">
        <v>0</v>
      </c>
      <c r="L217" s="4">
        <v>4.0999999999999996</v>
      </c>
      <c r="M217" s="4">
        <v>612390.14</v>
      </c>
      <c r="N217" s="4">
        <v>108985.74</v>
      </c>
      <c r="O217">
        <f>396109.2647+(1.143827975*E217)+(33.53435949*F217)</f>
        <v>631682.211787618</v>
      </c>
      <c r="P217">
        <f>M217-O217</f>
        <v>-19292.071787617984</v>
      </c>
    </row>
    <row r="218" spans="1:16">
      <c r="A218" s="4" t="s">
        <v>43</v>
      </c>
      <c r="B218" s="6">
        <v>45689</v>
      </c>
      <c r="C218" s="4" t="s">
        <v>27</v>
      </c>
      <c r="D218" s="4" t="s">
        <v>18</v>
      </c>
      <c r="E218" s="4">
        <v>88443.77</v>
      </c>
      <c r="F218" s="4">
        <v>4004</v>
      </c>
      <c r="G218" s="4">
        <v>0.20599999999999999</v>
      </c>
      <c r="H218" s="4">
        <v>11</v>
      </c>
      <c r="I218" s="4">
        <v>91.9</v>
      </c>
      <c r="J218" s="4">
        <v>5.95</v>
      </c>
      <c r="K218" s="4">
        <v>0</v>
      </c>
      <c r="L218" s="4"/>
      <c r="M218" s="4">
        <v>611766.72</v>
      </c>
      <c r="N218" s="4">
        <v>88275.61</v>
      </c>
      <c r="O218">
        <f>396109.2647+(1.143827975*E218)+(33.53435949*F218)</f>
        <v>631545.29843842576</v>
      </c>
      <c r="P218">
        <f>M218-O218</f>
        <v>-19778.578438425786</v>
      </c>
    </row>
    <row r="219" spans="1:16">
      <c r="A219" s="4" t="s">
        <v>59</v>
      </c>
      <c r="B219" s="6">
        <v>45658</v>
      </c>
      <c r="C219" s="4" t="s">
        <v>24</v>
      </c>
      <c r="D219" s="4" t="s">
        <v>28</v>
      </c>
      <c r="E219" s="4">
        <v>51575.68</v>
      </c>
      <c r="F219" s="4">
        <v>5329</v>
      </c>
      <c r="G219" s="4">
        <v>4.7E-2</v>
      </c>
      <c r="H219" s="4">
        <v>17</v>
      </c>
      <c r="I219" s="4">
        <v>88.1</v>
      </c>
      <c r="J219" s="4">
        <v>19.78</v>
      </c>
      <c r="K219" s="4">
        <v>0</v>
      </c>
      <c r="L219" s="4">
        <v>3.8</v>
      </c>
      <c r="M219" s="4">
        <v>614024.91</v>
      </c>
      <c r="N219" s="4">
        <v>84828.93</v>
      </c>
      <c r="O219">
        <f>396109.2647+(1.143827975*E219)+(33.53435949*F219)</f>
        <v>633807.57203585794</v>
      </c>
      <c r="P219">
        <f>M219-O219</f>
        <v>-19782.662035857909</v>
      </c>
    </row>
    <row r="220" spans="1:16">
      <c r="A220" s="4" t="s">
        <v>19</v>
      </c>
      <c r="B220" s="6">
        <v>45717</v>
      </c>
      <c r="C220" s="4" t="s">
        <v>20</v>
      </c>
      <c r="D220" s="4" t="s">
        <v>21</v>
      </c>
      <c r="E220" s="4">
        <v>34285.21</v>
      </c>
      <c r="F220" s="4">
        <v>9172</v>
      </c>
      <c r="G220" s="4">
        <v>0.21299999999999999</v>
      </c>
      <c r="H220" s="4">
        <v>22</v>
      </c>
      <c r="I220" s="4">
        <v>88.3</v>
      </c>
      <c r="J220" s="4">
        <v>10.46</v>
      </c>
      <c r="K220" s="4">
        <v>1</v>
      </c>
      <c r="L220" s="4">
        <v>3.8</v>
      </c>
      <c r="M220" s="4">
        <v>723060.76</v>
      </c>
      <c r="N220" s="4">
        <v>123131.24</v>
      </c>
      <c r="O220">
        <f>396109.2647+(1.143827975*E220)+(33.53435949*F220)</f>
        <v>742902.79226902965</v>
      </c>
      <c r="P220">
        <f>M220-O220</f>
        <v>-19842.032269029645</v>
      </c>
    </row>
    <row r="221" spans="1:16">
      <c r="A221" s="4" t="s">
        <v>31</v>
      </c>
      <c r="B221" s="6">
        <v>45717</v>
      </c>
      <c r="C221" s="4" t="s">
        <v>20</v>
      </c>
      <c r="D221" s="4" t="s">
        <v>28</v>
      </c>
      <c r="E221" s="4">
        <v>93381.26</v>
      </c>
      <c r="F221" s="4">
        <v>7562</v>
      </c>
      <c r="G221" s="4">
        <v>0.19800000000000001</v>
      </c>
      <c r="H221" s="4">
        <v>19</v>
      </c>
      <c r="I221" s="4">
        <v>82.9</v>
      </c>
      <c r="J221" s="4">
        <v>5.05</v>
      </c>
      <c r="K221" s="4">
        <v>0</v>
      </c>
      <c r="L221" s="4">
        <v>4</v>
      </c>
      <c r="M221" s="4">
        <v>736633.4</v>
      </c>
      <c r="N221" s="4">
        <v>115654.66</v>
      </c>
      <c r="O221">
        <f>396109.2647+(1.143827975*E221)+(33.53435949*F221)</f>
        <v>756508.18869212852</v>
      </c>
      <c r="P221">
        <f>M221-O221</f>
        <v>-19874.788692128495</v>
      </c>
    </row>
    <row r="222" spans="1:16">
      <c r="A222" s="4" t="s">
        <v>78</v>
      </c>
      <c r="B222" s="6">
        <v>45689</v>
      </c>
      <c r="C222" s="4" t="s">
        <v>15</v>
      </c>
      <c r="D222" s="4" t="s">
        <v>28</v>
      </c>
      <c r="E222" s="4">
        <v>57225.98</v>
      </c>
      <c r="F222" s="4">
        <v>2842</v>
      </c>
      <c r="G222" s="4">
        <v>0.112</v>
      </c>
      <c r="H222" s="4">
        <v>10</v>
      </c>
      <c r="I222" s="4">
        <v>79.5</v>
      </c>
      <c r="J222" s="4">
        <v>5.45</v>
      </c>
      <c r="K222" s="4">
        <v>0</v>
      </c>
      <c r="L222" s="4">
        <v>3.4</v>
      </c>
      <c r="M222" s="4">
        <v>536545.49</v>
      </c>
      <c r="N222" s="4">
        <v>97917.45</v>
      </c>
      <c r="O222">
        <f>396109.2647+(1.143827975*E222)+(33.53435949*F222)</f>
        <v>556870.59119137051</v>
      </c>
      <c r="P222">
        <f>M222-O222</f>
        <v>-20325.101191370515</v>
      </c>
    </row>
    <row r="223" spans="1:16">
      <c r="A223" s="4" t="s">
        <v>72</v>
      </c>
      <c r="B223" s="6">
        <v>45748</v>
      </c>
      <c r="C223" s="4" t="s">
        <v>15</v>
      </c>
      <c r="D223" s="4" t="s">
        <v>21</v>
      </c>
      <c r="E223" s="4">
        <v>64104.28</v>
      </c>
      <c r="F223" s="4">
        <v>6015</v>
      </c>
      <c r="G223" s="4">
        <v>0.127</v>
      </c>
      <c r="H223" s="4">
        <v>15</v>
      </c>
      <c r="I223" s="4">
        <v>88.7</v>
      </c>
      <c r="J223" s="4">
        <v>0.78</v>
      </c>
      <c r="K223" s="4">
        <v>0</v>
      </c>
      <c r="L223" s="4">
        <v>4</v>
      </c>
      <c r="M223" s="4">
        <v>650795.49</v>
      </c>
      <c r="N223" s="4">
        <v>103035.89</v>
      </c>
      <c r="O223">
        <f>396109.2647+(1.143827975*E223)+(33.53435949*F223)</f>
        <v>671142.70581358299</v>
      </c>
      <c r="P223">
        <f>M223-O223</f>
        <v>-20347.215813582996</v>
      </c>
    </row>
    <row r="224" spans="1:16">
      <c r="A224" s="4" t="s">
        <v>91</v>
      </c>
      <c r="B224" s="6">
        <v>45748</v>
      </c>
      <c r="C224" s="4" t="s">
        <v>24</v>
      </c>
      <c r="D224" s="4" t="s">
        <v>16</v>
      </c>
      <c r="E224" s="4">
        <v>70284.06</v>
      </c>
      <c r="F224" s="4">
        <v>9109</v>
      </c>
      <c r="G224" s="4">
        <v>4.0000000000000001E-3</v>
      </c>
      <c r="H224" s="4">
        <v>23</v>
      </c>
      <c r="I224" s="4">
        <v>87</v>
      </c>
      <c r="J224" s="4">
        <v>3.65</v>
      </c>
      <c r="K224" s="4">
        <v>0</v>
      </c>
      <c r="L224" s="4">
        <v>3.7</v>
      </c>
      <c r="M224" s="4">
        <v>761122.42</v>
      </c>
      <c r="N224" s="4">
        <v>149802.04</v>
      </c>
      <c r="O224">
        <f>396109.2647+(1.143827975*E224)+(33.53435949*F224)</f>
        <v>781966.61931898841</v>
      </c>
      <c r="P224">
        <f>M224-O224</f>
        <v>-20844.199318988365</v>
      </c>
    </row>
    <row r="225" spans="1:16">
      <c r="A225" s="4" t="s">
        <v>31</v>
      </c>
      <c r="B225" s="6">
        <v>45689</v>
      </c>
      <c r="C225" s="4" t="s">
        <v>20</v>
      </c>
      <c r="D225" s="4" t="s">
        <v>28</v>
      </c>
      <c r="E225" s="4">
        <v>61245.41</v>
      </c>
      <c r="F225" s="4">
        <v>8156</v>
      </c>
      <c r="G225" s="4">
        <v>0.156</v>
      </c>
      <c r="H225" s="4">
        <v>19</v>
      </c>
      <c r="I225" s="4">
        <v>92.9</v>
      </c>
      <c r="J225" s="4">
        <v>9.0500000000000007</v>
      </c>
      <c r="K225" s="4">
        <v>0</v>
      </c>
      <c r="L225" s="4">
        <v>3.8</v>
      </c>
      <c r="M225" s="4">
        <v>718330.53</v>
      </c>
      <c r="N225" s="4">
        <v>93247.9</v>
      </c>
      <c r="O225">
        <f>396109.2647+(1.143827975*E225)+(33.53435949*F225)</f>
        <v>739669.71399878478</v>
      </c>
      <c r="P225">
        <f>M225-O225</f>
        <v>-21339.183998784749</v>
      </c>
    </row>
    <row r="226" spans="1:16">
      <c r="A226" s="4" t="s">
        <v>92</v>
      </c>
      <c r="B226" s="6">
        <v>45748</v>
      </c>
      <c r="C226" s="4" t="s">
        <v>24</v>
      </c>
      <c r="D226" s="4" t="s">
        <v>18</v>
      </c>
      <c r="E226" s="4">
        <v>18599.21</v>
      </c>
      <c r="F226" s="4">
        <v>3027</v>
      </c>
      <c r="G226" s="4">
        <v>0.122</v>
      </c>
      <c r="H226" s="4">
        <v>11</v>
      </c>
      <c r="I226" s="4">
        <v>80.900000000000006</v>
      </c>
      <c r="J226" s="4">
        <v>6.44</v>
      </c>
      <c r="K226" s="4">
        <v>0</v>
      </c>
      <c r="L226" s="4">
        <v>4.2</v>
      </c>
      <c r="M226" s="4">
        <v>497439.82</v>
      </c>
      <c r="N226" s="4">
        <v>93372.75</v>
      </c>
      <c r="O226">
        <f>396109.2647+(1.143827975*E226)+(33.53435949*F226)</f>
        <v>518892.06758712977</v>
      </c>
      <c r="P226">
        <f>M226-O226</f>
        <v>-21452.247587129765</v>
      </c>
    </row>
    <row r="227" spans="1:16">
      <c r="A227" s="4" t="s">
        <v>60</v>
      </c>
      <c r="B227" s="6">
        <v>45658</v>
      </c>
      <c r="C227" s="4" t="s">
        <v>15</v>
      </c>
      <c r="D227" s="4" t="s">
        <v>18</v>
      </c>
      <c r="E227" s="4">
        <v>75645.23</v>
      </c>
      <c r="F227" s="4">
        <v>9674</v>
      </c>
      <c r="G227" s="4">
        <v>0.23400000000000001</v>
      </c>
      <c r="H227" s="4">
        <v>21</v>
      </c>
      <c r="I227" s="4">
        <v>87.4</v>
      </c>
      <c r="J227" s="4">
        <v>0.2</v>
      </c>
      <c r="K227" s="4">
        <v>0</v>
      </c>
      <c r="L227" s="4">
        <v>4.5</v>
      </c>
      <c r="M227" s="4">
        <v>785028.25</v>
      </c>
      <c r="N227" s="4">
        <v>110726.44</v>
      </c>
      <c r="O227">
        <f>396109.2647+(1.143827975*E227)+(33.53435949*F227)</f>
        <v>807045.78865556931</v>
      </c>
      <c r="P227">
        <f>M227-O227</f>
        <v>-22017.538655569311</v>
      </c>
    </row>
    <row r="228" spans="1:16">
      <c r="A228" s="4" t="s">
        <v>72</v>
      </c>
      <c r="B228" s="6">
        <v>45658</v>
      </c>
      <c r="C228" s="4" t="s">
        <v>15</v>
      </c>
      <c r="D228" s="4" t="s">
        <v>21</v>
      </c>
      <c r="E228" s="4">
        <v>22312.93</v>
      </c>
      <c r="F228" s="4">
        <v>5955</v>
      </c>
      <c r="G228" s="4">
        <v>0.123</v>
      </c>
      <c r="H228" s="4">
        <v>13</v>
      </c>
      <c r="I228" s="4">
        <v>84.2</v>
      </c>
      <c r="J228" s="4">
        <v>0.41</v>
      </c>
      <c r="K228" s="4">
        <v>1</v>
      </c>
      <c r="L228" s="4">
        <v>4.5999999999999996</v>
      </c>
      <c r="M228" s="4">
        <v>598904.9</v>
      </c>
      <c r="N228" s="4">
        <v>72861</v>
      </c>
      <c r="O228">
        <f>396109.2647+(1.143827975*E228)+(33.53435949*F228)</f>
        <v>621328.52900116681</v>
      </c>
      <c r="P228">
        <f>M228-O228</f>
        <v>-22423.629001166788</v>
      </c>
    </row>
    <row r="229" spans="1:16">
      <c r="A229" s="4" t="s">
        <v>23</v>
      </c>
      <c r="B229" s="6">
        <v>45658</v>
      </c>
      <c r="C229" s="4" t="s">
        <v>24</v>
      </c>
      <c r="D229" s="4" t="s">
        <v>16</v>
      </c>
      <c r="E229" s="4">
        <v>48804.22</v>
      </c>
      <c r="F229" s="4">
        <v>7057</v>
      </c>
      <c r="G229" s="4">
        <v>5.0000000000000001E-3</v>
      </c>
      <c r="H229" s="4">
        <v>15</v>
      </c>
      <c r="I229" s="4">
        <v>87.7</v>
      </c>
      <c r="J229" s="4">
        <v>1.22</v>
      </c>
      <c r="K229" s="4">
        <v>0</v>
      </c>
      <c r="L229" s="4">
        <v>3.7</v>
      </c>
      <c r="M229" s="4">
        <v>666152.52</v>
      </c>
      <c r="N229" s="4">
        <v>107490.58</v>
      </c>
      <c r="O229">
        <f>396109.2647+(1.143827975*E229)+(33.53435949*F229)</f>
        <v>688584.87175498449</v>
      </c>
      <c r="P229">
        <f>M229-O229</f>
        <v>-22432.351754984469</v>
      </c>
    </row>
    <row r="230" spans="1:16">
      <c r="A230" s="4" t="s">
        <v>58</v>
      </c>
      <c r="B230" s="6">
        <v>45689</v>
      </c>
      <c r="C230" s="4" t="s">
        <v>20</v>
      </c>
      <c r="D230" s="4" t="s">
        <v>16</v>
      </c>
      <c r="E230" s="4">
        <v>50909.27</v>
      </c>
      <c r="F230" s="4">
        <v>3152</v>
      </c>
      <c r="G230" s="4">
        <v>0.06</v>
      </c>
      <c r="H230" s="4">
        <v>13</v>
      </c>
      <c r="I230" s="4">
        <v>93.7</v>
      </c>
      <c r="J230" s="4">
        <v>10.79</v>
      </c>
      <c r="K230" s="4">
        <v>0</v>
      </c>
      <c r="L230" s="4">
        <v>3.5</v>
      </c>
      <c r="M230" s="4">
        <v>537058.32999999996</v>
      </c>
      <c r="N230" s="4">
        <v>93555.71</v>
      </c>
      <c r="O230">
        <f>396109.2647+(1.143827975*E230)+(33.53435949*F230)</f>
        <v>560041.01302530826</v>
      </c>
      <c r="P230">
        <f>M230-O230</f>
        <v>-22982.683025308303</v>
      </c>
    </row>
    <row r="231" spans="1:16">
      <c r="A231" s="4" t="s">
        <v>61</v>
      </c>
      <c r="B231" s="6">
        <v>45689</v>
      </c>
      <c r="C231" s="4" t="s">
        <v>20</v>
      </c>
      <c r="D231" s="4" t="s">
        <v>28</v>
      </c>
      <c r="E231" s="4">
        <v>41863.08</v>
      </c>
      <c r="F231" s="4">
        <v>5400</v>
      </c>
      <c r="G231" s="4">
        <v>0.114</v>
      </c>
      <c r="H231" s="4">
        <v>11</v>
      </c>
      <c r="I231" s="4">
        <v>91.6</v>
      </c>
      <c r="J231" s="4">
        <v>7.99</v>
      </c>
      <c r="K231" s="4">
        <v>0</v>
      </c>
      <c r="L231" s="4">
        <v>3</v>
      </c>
      <c r="M231" s="4">
        <v>602002.31999999995</v>
      </c>
      <c r="N231" s="4">
        <v>110453.28</v>
      </c>
      <c r="O231">
        <f>396109.2647+(1.143827975*E231)+(33.53435949*F231)</f>
        <v>625078.96796966298</v>
      </c>
      <c r="P231">
        <f>M231-O231</f>
        <v>-23076.647969663027</v>
      </c>
    </row>
    <row r="232" spans="1:16">
      <c r="A232" s="4" t="s">
        <v>101</v>
      </c>
      <c r="B232" s="6">
        <v>45717</v>
      </c>
      <c r="C232" s="4" t="s">
        <v>15</v>
      </c>
      <c r="D232" s="4" t="s">
        <v>16</v>
      </c>
      <c r="E232" s="4">
        <v>81902.58</v>
      </c>
      <c r="F232" s="4">
        <v>7775</v>
      </c>
      <c r="G232" s="4">
        <v>0.215</v>
      </c>
      <c r="H232" s="4">
        <v>20</v>
      </c>
      <c r="I232" s="4">
        <v>85.2</v>
      </c>
      <c r="J232" s="4">
        <v>4.8899999999999997</v>
      </c>
      <c r="K232" s="4">
        <v>1</v>
      </c>
      <c r="L232" s="4">
        <v>4.2</v>
      </c>
      <c r="M232" s="4">
        <v>726776.22</v>
      </c>
      <c r="N232" s="4">
        <v>90804.49</v>
      </c>
      <c r="O232">
        <f>396109.2647+(1.143827975*E232)+(33.53435949*F232)</f>
        <v>750521.37196342554</v>
      </c>
      <c r="P232">
        <f>M232-O232</f>
        <v>-23745.151963425567</v>
      </c>
    </row>
    <row r="233" spans="1:16">
      <c r="A233" s="4" t="s">
        <v>54</v>
      </c>
      <c r="B233" s="6">
        <v>45748</v>
      </c>
      <c r="C233" s="4" t="s">
        <v>15</v>
      </c>
      <c r="D233" s="4" t="s">
        <v>18</v>
      </c>
      <c r="E233" s="4">
        <v>66455.8</v>
      </c>
      <c r="F233" s="4">
        <v>10836</v>
      </c>
      <c r="G233" s="4">
        <v>8.8999999999999996E-2</v>
      </c>
      <c r="H233" s="4">
        <v>25</v>
      </c>
      <c r="I233" s="4">
        <v>85</v>
      </c>
      <c r="J233" s="4">
        <v>9.77</v>
      </c>
      <c r="K233" s="4">
        <v>0</v>
      </c>
      <c r="L233" s="4">
        <v>4.5</v>
      </c>
      <c r="M233" s="4">
        <v>811452.72</v>
      </c>
      <c r="N233" s="4">
        <v>131325.67000000001</v>
      </c>
      <c r="O233">
        <f>396109.2647+(1.143827975*E233)+(33.53435949*F233)</f>
        <v>835501.58727464499</v>
      </c>
      <c r="P233">
        <f>M233-O233</f>
        <v>-24048.867274645017</v>
      </c>
    </row>
    <row r="234" spans="1:16">
      <c r="A234" s="4" t="s">
        <v>32</v>
      </c>
      <c r="B234" s="6">
        <v>45689</v>
      </c>
      <c r="C234" s="4" t="s">
        <v>15</v>
      </c>
      <c r="D234" s="4" t="s">
        <v>28</v>
      </c>
      <c r="E234" s="4">
        <v>46123.88</v>
      </c>
      <c r="F234" s="4">
        <v>3227</v>
      </c>
      <c r="G234" s="4">
        <v>0.14299999999999999</v>
      </c>
      <c r="H234" s="4">
        <v>10</v>
      </c>
      <c r="I234" s="4">
        <v>75.400000000000006</v>
      </c>
      <c r="J234" s="4">
        <v>1.06</v>
      </c>
      <c r="K234" s="4">
        <v>0</v>
      </c>
      <c r="L234" s="4">
        <v>4.4000000000000004</v>
      </c>
      <c r="M234" s="4">
        <v>532644.46</v>
      </c>
      <c r="N234" s="4">
        <v>60681.32</v>
      </c>
      <c r="O234">
        <f>396109.2647+(1.143827975*E234)+(33.53435949*F234)</f>
        <v>557082.42703377304</v>
      </c>
      <c r="P234">
        <f>M234-O234</f>
        <v>-24437.967033773079</v>
      </c>
    </row>
    <row r="235" spans="1:16">
      <c r="A235" s="4" t="s">
        <v>63</v>
      </c>
      <c r="B235" s="6">
        <v>45689</v>
      </c>
      <c r="C235" s="4" t="s">
        <v>20</v>
      </c>
      <c r="D235" s="4" t="s">
        <v>28</v>
      </c>
      <c r="E235" s="4">
        <v>35303.300000000003</v>
      </c>
      <c r="F235" s="4">
        <v>8789</v>
      </c>
      <c r="G235" s="4">
        <v>0.123</v>
      </c>
      <c r="H235" s="4">
        <v>22</v>
      </c>
      <c r="I235" s="4">
        <v>86.1</v>
      </c>
      <c r="J235" s="4">
        <v>9.43</v>
      </c>
      <c r="K235" s="4">
        <v>0</v>
      </c>
      <c r="L235" s="4">
        <v>4.2</v>
      </c>
      <c r="M235" s="4">
        <v>706285.52</v>
      </c>
      <c r="N235" s="4">
        <v>138014.72</v>
      </c>
      <c r="O235">
        <f>396109.2647+(1.143827975*E235)+(33.53435949*F235)</f>
        <v>731223.65240742755</v>
      </c>
      <c r="P235">
        <f>M235-O235</f>
        <v>-24938.132407427533</v>
      </c>
    </row>
    <row r="236" spans="1:16">
      <c r="A236" s="4" t="s">
        <v>42</v>
      </c>
      <c r="B236" s="6">
        <v>45658</v>
      </c>
      <c r="C236" s="4" t="s">
        <v>27</v>
      </c>
      <c r="D236" s="4" t="s">
        <v>28</v>
      </c>
      <c r="E236" s="4">
        <v>60881.01</v>
      </c>
      <c r="F236" s="4">
        <v>5410</v>
      </c>
      <c r="G236" s="4">
        <v>0.17899999999999999</v>
      </c>
      <c r="H236" s="4">
        <v>15</v>
      </c>
      <c r="I236" s="4">
        <v>83.9</v>
      </c>
      <c r="J236" s="4">
        <v>5.24</v>
      </c>
      <c r="K236" s="4">
        <v>0</v>
      </c>
      <c r="L236" s="4">
        <v>4.5999999999999996</v>
      </c>
      <c r="M236" s="4">
        <v>621369.57999999996</v>
      </c>
      <c r="N236" s="4">
        <v>85493.64</v>
      </c>
      <c r="O236">
        <f>396109.2647+(1.143827975*E236)+(33.53435949*F236)</f>
        <v>647167.55192515475</v>
      </c>
      <c r="P236">
        <f>M236-O236</f>
        <v>-25797.971925154794</v>
      </c>
    </row>
    <row r="237" spans="1:16">
      <c r="A237" s="4" t="s">
        <v>92</v>
      </c>
      <c r="B237" s="6">
        <v>45689</v>
      </c>
      <c r="C237" s="4" t="s">
        <v>24</v>
      </c>
      <c r="D237" s="4" t="s">
        <v>18</v>
      </c>
      <c r="E237" s="4">
        <v>34771.26</v>
      </c>
      <c r="F237" s="4">
        <v>4355</v>
      </c>
      <c r="G237" s="4">
        <v>5.0999999999999997E-2</v>
      </c>
      <c r="H237" s="4">
        <v>15</v>
      </c>
      <c r="I237" s="4">
        <v>87.9</v>
      </c>
      <c r="J237" s="4">
        <v>3.09</v>
      </c>
      <c r="K237" s="4">
        <v>0</v>
      </c>
      <c r="L237" s="4">
        <v>4</v>
      </c>
      <c r="M237" s="4">
        <v>555557.77</v>
      </c>
      <c r="N237" s="4">
        <v>86475.51</v>
      </c>
      <c r="O237">
        <f>396109.2647+(1.143827975*E237)+(33.53435949*F237)</f>
        <v>581923.74019294849</v>
      </c>
      <c r="P237">
        <f>M237-O237</f>
        <v>-26365.970192948473</v>
      </c>
    </row>
    <row r="238" spans="1:16">
      <c r="A238" s="4" t="s">
        <v>81</v>
      </c>
      <c r="B238" s="6">
        <v>45717</v>
      </c>
      <c r="C238" s="4" t="s">
        <v>27</v>
      </c>
      <c r="D238" s="4" t="s">
        <v>28</v>
      </c>
      <c r="E238" s="4">
        <v>59060.05</v>
      </c>
      <c r="F238" s="4">
        <v>9702</v>
      </c>
      <c r="G238" s="4">
        <v>0.20100000000000001</v>
      </c>
      <c r="H238" s="4">
        <v>23</v>
      </c>
      <c r="I238" s="4">
        <v>80.900000000000006</v>
      </c>
      <c r="J238" s="4">
        <v>6.96</v>
      </c>
      <c r="K238" s="4">
        <v>0</v>
      </c>
      <c r="L238" s="4">
        <v>3.2</v>
      </c>
      <c r="M238" s="4">
        <v>761919.25</v>
      </c>
      <c r="N238" s="4">
        <v>111893.06</v>
      </c>
      <c r="O238">
        <f>396109.2647+(1.143827975*E238)+(33.53435949*F238)</f>
        <v>789014.15786687878</v>
      </c>
      <c r="P238">
        <f>M238-O238</f>
        <v>-27094.907866878784</v>
      </c>
    </row>
    <row r="239" spans="1:16">
      <c r="A239" s="4" t="s">
        <v>54</v>
      </c>
      <c r="B239" s="6">
        <v>45689</v>
      </c>
      <c r="C239" s="4" t="s">
        <v>15</v>
      </c>
      <c r="D239" s="4" t="s">
        <v>18</v>
      </c>
      <c r="E239" s="4">
        <v>68410.929999999993</v>
      </c>
      <c r="F239" s="4">
        <v>10596</v>
      </c>
      <c r="G239" s="4">
        <v>0.20699999999999999</v>
      </c>
      <c r="H239" s="4">
        <v>25</v>
      </c>
      <c r="I239" s="4">
        <v>81.2</v>
      </c>
      <c r="J239" s="4">
        <v>0.21</v>
      </c>
      <c r="K239" s="4">
        <v>0</v>
      </c>
      <c r="L239" s="4">
        <v>4</v>
      </c>
      <c r="M239" s="4">
        <v>801830.35</v>
      </c>
      <c r="N239" s="4">
        <v>114875.32</v>
      </c>
      <c r="O239">
        <f>396109.2647+(1.143827975*E239)+(33.53435949*F239)</f>
        <v>829689.67338580673</v>
      </c>
      <c r="P239">
        <f>M239-O239</f>
        <v>-27859.323385806754</v>
      </c>
    </row>
    <row r="240" spans="1:16">
      <c r="A240" s="4" t="s">
        <v>47</v>
      </c>
      <c r="B240" s="6">
        <v>45689</v>
      </c>
      <c r="C240" s="4" t="s">
        <v>15</v>
      </c>
      <c r="D240" s="4" t="s">
        <v>28</v>
      </c>
      <c r="E240" s="4">
        <v>63101.59</v>
      </c>
      <c r="F240" s="4">
        <v>4373</v>
      </c>
      <c r="G240" s="4">
        <v>0.17299999999999999</v>
      </c>
      <c r="H240" s="4">
        <v>14</v>
      </c>
      <c r="I240" s="4">
        <v>90.4</v>
      </c>
      <c r="J240" s="4">
        <v>7.87</v>
      </c>
      <c r="K240" s="4">
        <v>0</v>
      </c>
      <c r="L240" s="4">
        <v>4.7</v>
      </c>
      <c r="M240" s="4">
        <v>586626.93999999994</v>
      </c>
      <c r="N240" s="4">
        <v>86498.55</v>
      </c>
      <c r="O240">
        <f>396109.2647+(1.143827975*E240)+(33.53435949*F240)</f>
        <v>614932.38265875028</v>
      </c>
      <c r="P240">
        <f>M240-O240</f>
        <v>-28305.44265875034</v>
      </c>
    </row>
    <row r="241" spans="1:16">
      <c r="A241" s="4" t="s">
        <v>100</v>
      </c>
      <c r="B241" s="6">
        <v>45689</v>
      </c>
      <c r="C241" s="4" t="s">
        <v>20</v>
      </c>
      <c r="D241" s="4" t="s">
        <v>16</v>
      </c>
      <c r="E241" s="4">
        <v>46767.99</v>
      </c>
      <c r="F241" s="4">
        <v>7973</v>
      </c>
      <c r="G241" s="4">
        <v>0.183</v>
      </c>
      <c r="H241" s="4">
        <v>18</v>
      </c>
      <c r="I241" s="4">
        <v>94.8</v>
      </c>
      <c r="J241" s="4">
        <v>4.67</v>
      </c>
      <c r="K241" s="4">
        <v>0</v>
      </c>
      <c r="L241" s="4"/>
      <c r="M241" s="4">
        <v>688368.46</v>
      </c>
      <c r="N241" s="4">
        <v>93588.42</v>
      </c>
      <c r="O241">
        <f>396109.2647+(1.143827975*E241)+(33.53435949*F241)</f>
        <v>716973.24821029021</v>
      </c>
      <c r="P241">
        <f>M241-O241</f>
        <v>-28604.788210290251</v>
      </c>
    </row>
    <row r="242" spans="1:16">
      <c r="A242" s="4" t="s">
        <v>98</v>
      </c>
      <c r="B242" s="6">
        <v>45748</v>
      </c>
      <c r="C242" s="4" t="s">
        <v>24</v>
      </c>
      <c r="D242" s="4" t="s">
        <v>16</v>
      </c>
      <c r="E242" s="4">
        <v>60684.05</v>
      </c>
      <c r="F242" s="4">
        <v>6399</v>
      </c>
      <c r="G242" s="4">
        <v>7.4999999999999997E-2</v>
      </c>
      <c r="H242" s="4">
        <v>16</v>
      </c>
      <c r="I242" s="4">
        <v>99</v>
      </c>
      <c r="J242" s="4">
        <v>3.82</v>
      </c>
      <c r="K242" s="4">
        <v>0</v>
      </c>
      <c r="L242" s="4">
        <v>3.5</v>
      </c>
      <c r="M242" s="4">
        <v>651164.18000000005</v>
      </c>
      <c r="N242" s="4">
        <v>109466.5</v>
      </c>
      <c r="O242">
        <f>396109.2647+(1.143827975*E242)+(33.53435949*F242)</f>
        <v>680107.74510280881</v>
      </c>
      <c r="P242">
        <f>M242-O242</f>
        <v>-28943.56510280876</v>
      </c>
    </row>
    <row r="243" spans="1:16">
      <c r="A243" s="4" t="s">
        <v>83</v>
      </c>
      <c r="B243" s="6">
        <v>45717</v>
      </c>
      <c r="C243" s="4" t="s">
        <v>15</v>
      </c>
      <c r="D243" s="4" t="s">
        <v>18</v>
      </c>
      <c r="E243" s="4">
        <v>57390.04</v>
      </c>
      <c r="F243" s="4">
        <v>7374</v>
      </c>
      <c r="G243" s="4">
        <v>0.21</v>
      </c>
      <c r="H243" s="4">
        <v>21</v>
      </c>
      <c r="I243" s="4">
        <v>91.8</v>
      </c>
      <c r="J243" s="4">
        <v>0.2</v>
      </c>
      <c r="K243" s="4">
        <v>0</v>
      </c>
      <c r="L243" s="4">
        <v>3.1</v>
      </c>
      <c r="M243" s="4">
        <v>679230.86</v>
      </c>
      <c r="N243" s="4">
        <v>106927.58</v>
      </c>
      <c r="O243">
        <f>396109.2647+(1.143827975*E243)+(33.53435949*F243)</f>
        <v>709035.96481762896</v>
      </c>
      <c r="P243">
        <f>M243-O243</f>
        <v>-29805.104817628977</v>
      </c>
    </row>
    <row r="244" spans="1:16">
      <c r="A244" s="4" t="s">
        <v>84</v>
      </c>
      <c r="B244" s="6">
        <v>45689</v>
      </c>
      <c r="C244" s="4" t="s">
        <v>20</v>
      </c>
      <c r="D244" s="4" t="s">
        <v>18</v>
      </c>
      <c r="E244" s="4">
        <v>72932.55</v>
      </c>
      <c r="F244" s="4">
        <v>5765</v>
      </c>
      <c r="G244" s="4">
        <v>2.5999999999999999E-2</v>
      </c>
      <c r="H244" s="4">
        <v>17</v>
      </c>
      <c r="I244" s="4">
        <v>81.8</v>
      </c>
      <c r="J244" s="4">
        <v>5.0999999999999996</v>
      </c>
      <c r="K244" s="4">
        <v>0</v>
      </c>
      <c r="L244" s="4">
        <v>3.6</v>
      </c>
      <c r="M244" s="4">
        <v>642751.42000000004</v>
      </c>
      <c r="N244" s="4">
        <v>131942.15</v>
      </c>
      <c r="O244">
        <f>396109.2647+(1.143827975*E244)+(33.53435949*F244)</f>
        <v>672857.13813793624</v>
      </c>
      <c r="P244">
        <f>M244-O244</f>
        <v>-30105.718137936201</v>
      </c>
    </row>
    <row r="245" spans="1:16">
      <c r="A245" s="4" t="s">
        <v>71</v>
      </c>
      <c r="B245" s="6">
        <v>45689</v>
      </c>
      <c r="C245" s="4" t="s">
        <v>20</v>
      </c>
      <c r="D245" s="4" t="s">
        <v>16</v>
      </c>
      <c r="E245" s="4">
        <v>54002.83</v>
      </c>
      <c r="F245" s="4">
        <v>4366</v>
      </c>
      <c r="G245" s="4">
        <v>2.7E-2</v>
      </c>
      <c r="H245" s="4">
        <v>15</v>
      </c>
      <c r="I245" s="4">
        <v>90.6</v>
      </c>
      <c r="J245" s="4">
        <v>12.82</v>
      </c>
      <c r="K245" s="4">
        <v>0</v>
      </c>
      <c r="L245" s="4">
        <v>4.5999999999999996</v>
      </c>
      <c r="M245" s="4">
        <v>574066.61</v>
      </c>
      <c r="N245" s="4">
        <v>124674.67</v>
      </c>
      <c r="O245">
        <f>396109.2647+(1.143827975*E245)+(33.53435949*F245)</f>
        <v>604290.22591650928</v>
      </c>
      <c r="P245">
        <f>M245-O245</f>
        <v>-30223.615916509298</v>
      </c>
    </row>
    <row r="246" spans="1:16">
      <c r="A246" s="4" t="s">
        <v>17</v>
      </c>
      <c r="B246" s="6">
        <v>45658</v>
      </c>
      <c r="C246" s="4" t="s">
        <v>15</v>
      </c>
      <c r="D246" s="4" t="s">
        <v>18</v>
      </c>
      <c r="E246" s="4">
        <v>48412.639999999999</v>
      </c>
      <c r="F246" s="4">
        <v>9545</v>
      </c>
      <c r="G246" s="4">
        <v>0.23100000000000001</v>
      </c>
      <c r="H246" s="4">
        <v>21</v>
      </c>
      <c r="I246" s="4">
        <v>97.6</v>
      </c>
      <c r="J246" s="4">
        <v>6.94</v>
      </c>
      <c r="K246" s="4">
        <v>1</v>
      </c>
      <c r="L246" s="4">
        <v>4.2</v>
      </c>
      <c r="M246" s="4">
        <v>741341.44</v>
      </c>
      <c r="N246" s="4">
        <v>119208.17</v>
      </c>
      <c r="O246">
        <f>396109.2647+(1.143827975*E246)+(33.53435949*F246)</f>
        <v>771570.45800765394</v>
      </c>
      <c r="P246">
        <f>M246-O246</f>
        <v>-30229.018007653998</v>
      </c>
    </row>
    <row r="247" spans="1:16">
      <c r="A247" s="4" t="s">
        <v>29</v>
      </c>
      <c r="B247" s="6">
        <v>45717</v>
      </c>
      <c r="C247" s="4" t="s">
        <v>15</v>
      </c>
      <c r="D247" s="4" t="s">
        <v>16</v>
      </c>
      <c r="E247" s="4">
        <v>44970.080000000002</v>
      </c>
      <c r="F247" s="4">
        <v>2471</v>
      </c>
      <c r="G247" s="4">
        <v>0.13600000000000001</v>
      </c>
      <c r="H247" s="4">
        <v>11</v>
      </c>
      <c r="I247" s="4">
        <v>87.6</v>
      </c>
      <c r="J247" s="4">
        <v>3.01</v>
      </c>
      <c r="K247" s="4">
        <v>1</v>
      </c>
      <c r="L247" s="4">
        <v>3.7</v>
      </c>
      <c r="M247" s="4">
        <v>500173.02</v>
      </c>
      <c r="N247" s="4">
        <v>70982.05</v>
      </c>
      <c r="O247">
        <f>396109.2647+(1.143827975*E247)+(33.53435949*F247)</f>
        <v>530410.70254177798</v>
      </c>
      <c r="P247">
        <f>M247-O247</f>
        <v>-30237.682541777962</v>
      </c>
    </row>
    <row r="248" spans="1:16">
      <c r="A248" s="4" t="s">
        <v>94</v>
      </c>
      <c r="B248" s="6">
        <v>45658</v>
      </c>
      <c r="C248" s="4" t="s">
        <v>15</v>
      </c>
      <c r="D248" s="4" t="s">
        <v>16</v>
      </c>
      <c r="E248" s="4">
        <v>70012.41</v>
      </c>
      <c r="F248" s="4">
        <v>8484</v>
      </c>
      <c r="G248" s="4">
        <v>0.27300000000000002</v>
      </c>
      <c r="H248" s="4">
        <v>23</v>
      </c>
      <c r="I248" s="4">
        <v>72.900000000000006</v>
      </c>
      <c r="J248" s="4">
        <v>3.34</v>
      </c>
      <c r="K248" s="4">
        <v>0</v>
      </c>
      <c r="L248" s="4">
        <v>3.7</v>
      </c>
      <c r="M248" s="4">
        <v>729424.42</v>
      </c>
      <c r="N248" s="4">
        <v>75592.28</v>
      </c>
      <c r="O248">
        <f>396109.2647+(1.143827975*E248)+(33.53435949*F248)</f>
        <v>760696.92376832967</v>
      </c>
      <c r="P248">
        <f>M248-O248</f>
        <v>-31272.503768329625</v>
      </c>
    </row>
    <row r="249" spans="1:16">
      <c r="A249" s="4" t="s">
        <v>40</v>
      </c>
      <c r="B249" s="6">
        <v>45658</v>
      </c>
      <c r="C249" s="4" t="s">
        <v>15</v>
      </c>
      <c r="D249" s="4" t="s">
        <v>16</v>
      </c>
      <c r="E249" s="4">
        <v>46201.46</v>
      </c>
      <c r="F249" s="4">
        <v>5918</v>
      </c>
      <c r="G249" s="4">
        <v>0.27700000000000002</v>
      </c>
      <c r="H249" s="4">
        <v>13</v>
      </c>
      <c r="I249" s="4">
        <v>78.8</v>
      </c>
      <c r="J249" s="4">
        <v>4.91</v>
      </c>
      <c r="K249" s="4">
        <v>0</v>
      </c>
      <c r="L249" s="4">
        <v>4.5</v>
      </c>
      <c r="M249" s="4">
        <v>616069.41</v>
      </c>
      <c r="N249" s="4">
        <v>54453.99</v>
      </c>
      <c r="O249">
        <f>396109.2647+(1.143827975*E249)+(33.53435949*F249)</f>
        <v>647412.12659566349</v>
      </c>
      <c r="P249">
        <f>M249-O249</f>
        <v>-31342.716595663456</v>
      </c>
    </row>
    <row r="250" spans="1:16">
      <c r="A250" s="4" t="s">
        <v>93</v>
      </c>
      <c r="B250" s="6">
        <v>45748</v>
      </c>
      <c r="C250" s="4" t="s">
        <v>27</v>
      </c>
      <c r="D250" s="4" t="s">
        <v>16</v>
      </c>
      <c r="E250" s="4">
        <v>40928.69</v>
      </c>
      <c r="F250" s="4">
        <v>4094</v>
      </c>
      <c r="G250" s="4">
        <v>0.17399999999999999</v>
      </c>
      <c r="H250" s="4">
        <v>13</v>
      </c>
      <c r="I250" s="4">
        <v>82.4</v>
      </c>
      <c r="J250" s="4">
        <v>1.36</v>
      </c>
      <c r="K250" s="4">
        <v>0</v>
      </c>
      <c r="L250" s="4">
        <v>4.8</v>
      </c>
      <c r="M250" s="4">
        <v>548103.69999999995</v>
      </c>
      <c r="N250" s="4">
        <v>99905.52</v>
      </c>
      <c r="O250">
        <f>396109.2647+(1.143827975*E250)+(33.53435949*F250)</f>
        <v>580214.31305416278</v>
      </c>
      <c r="P250">
        <f>M250-O250</f>
        <v>-32110.613054162823</v>
      </c>
    </row>
    <row r="251" spans="1:16">
      <c r="A251" s="4" t="s">
        <v>68</v>
      </c>
      <c r="B251" s="6">
        <v>45748</v>
      </c>
      <c r="C251" s="4" t="s">
        <v>20</v>
      </c>
      <c r="D251" s="4" t="s">
        <v>18</v>
      </c>
      <c r="E251" s="4">
        <v>72784.800000000003</v>
      </c>
      <c r="F251" s="4">
        <v>7932</v>
      </c>
      <c r="G251" s="4">
        <v>9.4E-2</v>
      </c>
      <c r="H251" s="4">
        <v>20</v>
      </c>
      <c r="I251" s="4">
        <v>74.900000000000006</v>
      </c>
      <c r="J251" s="4">
        <v>13.62</v>
      </c>
      <c r="K251" s="4">
        <v>0</v>
      </c>
      <c r="L251" s="4">
        <v>4.2</v>
      </c>
      <c r="M251" s="4">
        <v>712546.38</v>
      </c>
      <c r="N251" s="4">
        <v>101480.04</v>
      </c>
      <c r="O251">
        <f>396109.2647+(1.143827975*E251)+(33.53435949*F251)</f>
        <v>745357.09456946002</v>
      </c>
      <c r="P251">
        <f>M251-O251</f>
        <v>-32810.714569460019</v>
      </c>
    </row>
    <row r="252" spans="1:16">
      <c r="A252" s="4" t="s">
        <v>23</v>
      </c>
      <c r="B252" s="6">
        <v>45689</v>
      </c>
      <c r="C252" s="4" t="s">
        <v>24</v>
      </c>
      <c r="D252" s="4" t="s">
        <v>16</v>
      </c>
      <c r="E252" s="4">
        <v>59117.9</v>
      </c>
      <c r="F252" s="4">
        <v>4263</v>
      </c>
      <c r="G252" s="4">
        <v>0.11899999999999999</v>
      </c>
      <c r="H252" s="4">
        <v>9</v>
      </c>
      <c r="I252" s="4">
        <v>87.6</v>
      </c>
      <c r="J252" s="4">
        <v>4.01</v>
      </c>
      <c r="K252" s="4">
        <v>0</v>
      </c>
      <c r="L252" s="4">
        <v>3.6</v>
      </c>
      <c r="M252" s="4">
        <v>573155.18999999994</v>
      </c>
      <c r="N252" s="4">
        <v>83680.75</v>
      </c>
      <c r="O252">
        <f>396109.2647+(1.143827975*E252)+(33.53435949*F252)</f>
        <v>606686.94704912254</v>
      </c>
      <c r="P252">
        <f>M252-O252</f>
        <v>-33531.757049122592</v>
      </c>
    </row>
    <row r="253" spans="1:16">
      <c r="A253" s="4" t="s">
        <v>34</v>
      </c>
      <c r="B253" s="6">
        <v>45689</v>
      </c>
      <c r="C253" s="4" t="s">
        <v>20</v>
      </c>
      <c r="D253" s="4" t="s">
        <v>28</v>
      </c>
      <c r="E253" s="4">
        <v>49710.29</v>
      </c>
      <c r="F253" s="4">
        <v>5559</v>
      </c>
      <c r="G253" s="4">
        <v>0.218</v>
      </c>
      <c r="H253" s="4">
        <v>14</v>
      </c>
      <c r="I253" s="4">
        <v>71</v>
      </c>
      <c r="J253" s="4">
        <v>9.11</v>
      </c>
      <c r="K253" s="4">
        <v>0</v>
      </c>
      <c r="L253" s="4">
        <v>4.5999999999999996</v>
      </c>
      <c r="M253" s="4">
        <v>603297.56999999995</v>
      </c>
      <c r="N253" s="4">
        <v>60592.26</v>
      </c>
      <c r="O253">
        <f>396109.2647+(1.143827975*E253)+(33.53435949*F253)</f>
        <v>639386.7894522727</v>
      </c>
      <c r="P253">
        <f>M253-O253</f>
        <v>-36089.219452272751</v>
      </c>
    </row>
    <row r="254" spans="1:16">
      <c r="A254" s="4" t="s">
        <v>67</v>
      </c>
      <c r="B254" s="6">
        <v>45717</v>
      </c>
      <c r="C254" s="4" t="s">
        <v>27</v>
      </c>
      <c r="D254" s="4" t="s">
        <v>16</v>
      </c>
      <c r="E254" s="4">
        <v>63010.23</v>
      </c>
      <c r="F254" s="4">
        <v>9812</v>
      </c>
      <c r="G254" s="4">
        <v>0.113</v>
      </c>
      <c r="H254" s="4">
        <v>24</v>
      </c>
      <c r="I254" s="4">
        <v>76.8</v>
      </c>
      <c r="J254" s="4">
        <v>1.02</v>
      </c>
      <c r="K254" s="4">
        <v>1</v>
      </c>
      <c r="L254" s="4">
        <v>3.8</v>
      </c>
      <c r="M254" s="4">
        <v>761077.08</v>
      </c>
      <c r="N254" s="4">
        <v>113605.93</v>
      </c>
      <c r="O254">
        <f>396109.2647+(1.143827975*E254)+(33.53435949*F254)</f>
        <v>797221.26380106434</v>
      </c>
      <c r="P254">
        <f>M254-O254</f>
        <v>-36144.183801064384</v>
      </c>
    </row>
    <row r="255" spans="1:16">
      <c r="A255" s="4" t="s">
        <v>35</v>
      </c>
      <c r="B255" s="6">
        <v>45748</v>
      </c>
      <c r="C255" s="4" t="s">
        <v>27</v>
      </c>
      <c r="D255" s="4" t="s">
        <v>18</v>
      </c>
      <c r="E255" s="4">
        <v>27808.6</v>
      </c>
      <c r="F255" s="4">
        <v>2863</v>
      </c>
      <c r="G255" s="4">
        <v>0.08</v>
      </c>
      <c r="H255" s="4">
        <v>13</v>
      </c>
      <c r="I255" s="4">
        <v>89.3</v>
      </c>
      <c r="J255" s="4">
        <v>0.47</v>
      </c>
      <c r="K255" s="4">
        <v>0</v>
      </c>
      <c r="L255" s="4">
        <v>4.0999999999999996</v>
      </c>
      <c r="M255" s="4">
        <v>487464.91</v>
      </c>
      <c r="N255" s="4">
        <v>64562.26</v>
      </c>
      <c r="O255">
        <f>396109.2647+(1.143827975*E255)+(33.53435949*F255)</f>
        <v>523926.39054545498</v>
      </c>
      <c r="P255">
        <f>M255-O255</f>
        <v>-36461.480545455008</v>
      </c>
    </row>
    <row r="256" spans="1:16">
      <c r="A256" s="4" t="s">
        <v>17</v>
      </c>
      <c r="B256" s="6">
        <v>45689</v>
      </c>
      <c r="C256" s="4" t="s">
        <v>15</v>
      </c>
      <c r="D256" s="4" t="s">
        <v>18</v>
      </c>
      <c r="E256" s="4">
        <v>64811.21</v>
      </c>
      <c r="F256" s="4">
        <v>9792</v>
      </c>
      <c r="G256" s="4">
        <v>0.112</v>
      </c>
      <c r="H256" s="4">
        <v>20</v>
      </c>
      <c r="I256" s="4">
        <v>84.2</v>
      </c>
      <c r="J256" s="4">
        <v>2.88</v>
      </c>
      <c r="K256" s="4">
        <v>0</v>
      </c>
      <c r="L256" s="4">
        <v>4.2</v>
      </c>
      <c r="M256" s="4">
        <v>761835.34</v>
      </c>
      <c r="N256" s="4">
        <v>149602.23000000001</v>
      </c>
      <c r="O256">
        <f>396109.2647+(1.143827975*E256)+(33.53435949*F256)</f>
        <v>798610.58791767969</v>
      </c>
      <c r="P256">
        <f>M256-O256</f>
        <v>-36775.247917679721</v>
      </c>
    </row>
    <row r="257" spans="1:16">
      <c r="A257" s="4" t="s">
        <v>95</v>
      </c>
      <c r="B257" s="6">
        <v>45658</v>
      </c>
      <c r="C257" s="4" t="s">
        <v>27</v>
      </c>
      <c r="D257" s="4" t="s">
        <v>18</v>
      </c>
      <c r="E257" s="4">
        <v>51996.32</v>
      </c>
      <c r="F257" s="4">
        <v>3834</v>
      </c>
      <c r="G257" s="4">
        <v>9.6000000000000002E-2</v>
      </c>
      <c r="H257" s="4">
        <v>8</v>
      </c>
      <c r="I257" s="4">
        <v>86.7</v>
      </c>
      <c r="J257" s="4">
        <v>6.04</v>
      </c>
      <c r="K257" s="4">
        <v>0</v>
      </c>
      <c r="L257" s="4">
        <v>4.5</v>
      </c>
      <c r="M257" s="4">
        <v>546223.69999999995</v>
      </c>
      <c r="N257" s="4">
        <v>100769.17</v>
      </c>
      <c r="O257">
        <f>396109.2647+(1.143827975*E257)+(33.53435949*F257)</f>
        <v>584154.84439771203</v>
      </c>
      <c r="P257">
        <f>M257-O257</f>
        <v>-37931.14439771208</v>
      </c>
    </row>
    <row r="258" spans="1:16">
      <c r="A258" s="4" t="s">
        <v>69</v>
      </c>
      <c r="B258" s="6">
        <v>45717</v>
      </c>
      <c r="C258" s="4" t="s">
        <v>15</v>
      </c>
      <c r="D258" s="4" t="s">
        <v>18</v>
      </c>
      <c r="E258" s="4">
        <v>37705.879999999997</v>
      </c>
      <c r="F258" s="4">
        <v>1268</v>
      </c>
      <c r="G258" s="4">
        <v>0.25900000000000001</v>
      </c>
      <c r="H258" s="4">
        <v>9</v>
      </c>
      <c r="I258" s="4">
        <v>84.1</v>
      </c>
      <c r="J258" s="4">
        <v>4.7699999999999996</v>
      </c>
      <c r="K258" s="4">
        <v>0</v>
      </c>
      <c r="L258" s="4">
        <v>3.8</v>
      </c>
      <c r="M258" s="4">
        <v>443275.59</v>
      </c>
      <c r="N258" s="4">
        <v>53544.36</v>
      </c>
      <c r="O258">
        <f>396109.2647+(1.143827975*E258)+(33.53435949*F258)</f>
        <v>481759.87289931299</v>
      </c>
      <c r="P258">
        <f>M258-O258</f>
        <v>-38484.282899312966</v>
      </c>
    </row>
    <row r="259" spans="1:16">
      <c r="A259" s="4" t="s">
        <v>94</v>
      </c>
      <c r="B259" s="6">
        <v>45689</v>
      </c>
      <c r="C259" s="4" t="s">
        <v>15</v>
      </c>
      <c r="D259" s="4" t="s">
        <v>16</v>
      </c>
      <c r="E259" s="4">
        <v>68909.259999999995</v>
      </c>
      <c r="F259" s="4">
        <v>7794</v>
      </c>
      <c r="G259" s="4">
        <v>0.28399999999999997</v>
      </c>
      <c r="H259" s="4">
        <v>22</v>
      </c>
      <c r="I259" s="4">
        <v>89</v>
      </c>
      <c r="J259" s="4">
        <v>0.33</v>
      </c>
      <c r="K259" s="4">
        <v>0</v>
      </c>
      <c r="L259" s="4">
        <v>4</v>
      </c>
      <c r="M259" s="4">
        <v>696261.49</v>
      </c>
      <c r="N259" s="4">
        <v>72455.350000000006</v>
      </c>
      <c r="O259">
        <f>396109.2647+(1.143827975*E259)+(33.53435949*F259)</f>
        <v>736296.40188960847</v>
      </c>
      <c r="P259">
        <f>M259-O259</f>
        <v>-40034.911889608484</v>
      </c>
    </row>
    <row r="260" spans="1:16">
      <c r="A260" s="4" t="s">
        <v>60</v>
      </c>
      <c r="B260" s="6">
        <v>45717</v>
      </c>
      <c r="C260" s="4" t="s">
        <v>15</v>
      </c>
      <c r="D260" s="4" t="s">
        <v>18</v>
      </c>
      <c r="E260" s="4">
        <v>61433.84</v>
      </c>
      <c r="F260" s="4">
        <v>7745</v>
      </c>
      <c r="G260" s="4">
        <v>0.18</v>
      </c>
      <c r="H260" s="4">
        <v>16</v>
      </c>
      <c r="I260" s="4">
        <v>90.5</v>
      </c>
      <c r="J260" s="4">
        <v>2.2599999999999998</v>
      </c>
      <c r="K260" s="4">
        <v>0</v>
      </c>
      <c r="L260" s="4">
        <v>4.2</v>
      </c>
      <c r="M260" s="4">
        <v>685830.24</v>
      </c>
      <c r="N260" s="4">
        <v>128736.18</v>
      </c>
      <c r="O260">
        <f>396109.2647+(1.143827975*E260)+(33.53435949*F260)</f>
        <v>726102.62375372404</v>
      </c>
      <c r="P260">
        <f>M260-O260</f>
        <v>-40272.383753724047</v>
      </c>
    </row>
    <row r="261" spans="1:16">
      <c r="A261" s="4" t="s">
        <v>52</v>
      </c>
      <c r="B261" s="6">
        <v>45748</v>
      </c>
      <c r="C261" s="4" t="s">
        <v>20</v>
      </c>
      <c r="D261" s="4" t="s">
        <v>18</v>
      </c>
      <c r="E261" s="4">
        <v>19063.48</v>
      </c>
      <c r="F261" s="4">
        <v>1906</v>
      </c>
      <c r="G261" s="4">
        <v>0.216</v>
      </c>
      <c r="H261" s="4">
        <v>10</v>
      </c>
      <c r="I261" s="4">
        <v>97.8</v>
      </c>
      <c r="J261" s="4">
        <v>15.79</v>
      </c>
      <c r="K261" s="4">
        <v>0</v>
      </c>
      <c r="L261" s="4">
        <v>4.4000000000000004</v>
      </c>
      <c r="M261" s="4">
        <v>441275.42</v>
      </c>
      <c r="N261" s="4">
        <v>58234.87</v>
      </c>
      <c r="O261">
        <f>396109.2647+(1.143827975*E261)+(33.53435949*F261)</f>
        <v>481831.095612793</v>
      </c>
      <c r="P261">
        <f>M261-O261</f>
        <v>-40555.675612793013</v>
      </c>
    </row>
    <row r="262" spans="1:16">
      <c r="A262" s="4" t="s">
        <v>41</v>
      </c>
      <c r="B262" s="6">
        <v>45658</v>
      </c>
      <c r="C262" s="4" t="s">
        <v>24</v>
      </c>
      <c r="D262" s="4" t="s">
        <v>18</v>
      </c>
      <c r="E262" s="4">
        <v>56973.18</v>
      </c>
      <c r="F262" s="4">
        <v>6662</v>
      </c>
      <c r="G262" s="4">
        <v>0.1</v>
      </c>
      <c r="H262" s="4">
        <v>15</v>
      </c>
      <c r="I262" s="4">
        <v>77.7</v>
      </c>
      <c r="J262" s="4">
        <v>7.52</v>
      </c>
      <c r="K262" s="4">
        <v>1</v>
      </c>
      <c r="L262" s="4">
        <v>3.2</v>
      </c>
      <c r="M262" s="4">
        <v>643657.47</v>
      </c>
      <c r="N262" s="4">
        <v>87022.45</v>
      </c>
      <c r="O262">
        <f>396109.2647+(1.143827975*E262)+(33.53435949*F262)</f>
        <v>684682.68473109044</v>
      </c>
      <c r="P262">
        <f>M262-O262</f>
        <v>-41025.214731090469</v>
      </c>
    </row>
    <row r="263" spans="1:16">
      <c r="A263" s="4" t="s">
        <v>64</v>
      </c>
      <c r="B263" s="6">
        <v>45658</v>
      </c>
      <c r="C263" s="4" t="s">
        <v>15</v>
      </c>
      <c r="D263" s="4" t="s">
        <v>16</v>
      </c>
      <c r="E263" s="4">
        <v>62059.18</v>
      </c>
      <c r="F263" s="4">
        <v>9374</v>
      </c>
      <c r="G263" s="4">
        <v>0.13600000000000001</v>
      </c>
      <c r="H263" s="4">
        <v>25</v>
      </c>
      <c r="I263" s="4">
        <v>87.1</v>
      </c>
      <c r="J263" s="4">
        <v>12.55</v>
      </c>
      <c r="K263" s="4">
        <v>0</v>
      </c>
      <c r="L263" s="4">
        <v>4.9000000000000004</v>
      </c>
      <c r="M263" s="4">
        <v>739831.73</v>
      </c>
      <c r="N263" s="4">
        <v>119490.21</v>
      </c>
      <c r="O263">
        <f>396109.2647+(1.143827975*E263)+(33.53435949*F263)</f>
        <v>781445.37674882053</v>
      </c>
      <c r="P263">
        <f>M263-O263</f>
        <v>-41613.646748820553</v>
      </c>
    </row>
    <row r="264" spans="1:16">
      <c r="A264" s="4" t="s">
        <v>52</v>
      </c>
      <c r="B264" s="6">
        <v>45717</v>
      </c>
      <c r="C264" s="4" t="s">
        <v>20</v>
      </c>
      <c r="D264" s="4" t="s">
        <v>18</v>
      </c>
      <c r="E264" s="4">
        <v>48396.13</v>
      </c>
      <c r="F264" s="4">
        <v>4423</v>
      </c>
      <c r="G264" s="4">
        <v>6.9000000000000006E-2</v>
      </c>
      <c r="H264" s="4">
        <v>15</v>
      </c>
      <c r="I264" s="4">
        <v>85.7</v>
      </c>
      <c r="J264" s="4">
        <v>1.88</v>
      </c>
      <c r="K264" s="4">
        <v>0</v>
      </c>
      <c r="L264" s="4">
        <v>3.9</v>
      </c>
      <c r="M264" s="4">
        <v>557487.26</v>
      </c>
      <c r="N264" s="4">
        <v>76432.19</v>
      </c>
      <c r="O264">
        <f>396109.2647+(1.143827975*E264)+(33.53435949*F264)</f>
        <v>599788.58410000673</v>
      </c>
      <c r="P264">
        <f>M264-O264</f>
        <v>-42301.324100006721</v>
      </c>
    </row>
    <row r="265" spans="1:16">
      <c r="A265" s="4" t="s">
        <v>65</v>
      </c>
      <c r="B265" s="6">
        <v>45689</v>
      </c>
      <c r="C265" s="4" t="s">
        <v>15</v>
      </c>
      <c r="D265" s="4" t="s">
        <v>16</v>
      </c>
      <c r="E265" s="4">
        <v>43645.98</v>
      </c>
      <c r="F265" s="4">
        <v>9480</v>
      </c>
      <c r="G265" s="4">
        <v>0.109</v>
      </c>
      <c r="H265" s="4">
        <v>22</v>
      </c>
      <c r="I265" s="4">
        <v>89</v>
      </c>
      <c r="J265" s="4">
        <v>2.11</v>
      </c>
      <c r="K265" s="4">
        <v>0</v>
      </c>
      <c r="L265" s="4">
        <v>3.1</v>
      </c>
      <c r="M265" s="4">
        <v>721364.11</v>
      </c>
      <c r="N265" s="4">
        <v>147272.81</v>
      </c>
      <c r="O265">
        <f>396109.2647+(1.143827975*E265)+(33.53435949*F265)</f>
        <v>763938.48558549047</v>
      </c>
      <c r="P265">
        <f>M265-O265</f>
        <v>-42574.375585490488</v>
      </c>
    </row>
    <row r="266" spans="1:16">
      <c r="A266" s="4" t="s">
        <v>62</v>
      </c>
      <c r="B266" s="6">
        <v>45658</v>
      </c>
      <c r="C266" s="4" t="s">
        <v>24</v>
      </c>
      <c r="D266" s="4" t="s">
        <v>18</v>
      </c>
      <c r="E266" s="4">
        <v>41443.410000000003</v>
      </c>
      <c r="F266" s="4">
        <v>7455</v>
      </c>
      <c r="G266" s="4">
        <v>0.17499999999999999</v>
      </c>
      <c r="H266" s="4">
        <v>16</v>
      </c>
      <c r="I266" s="4">
        <v>90.1</v>
      </c>
      <c r="J266" s="4">
        <v>4.05</v>
      </c>
      <c r="K266" s="4">
        <v>0</v>
      </c>
      <c r="L266" s="4">
        <v>4</v>
      </c>
      <c r="M266" s="4">
        <v>650480.06000000006</v>
      </c>
      <c r="N266" s="4">
        <v>109012.07</v>
      </c>
      <c r="O266">
        <f>396109.2647+(1.143827975*E266)+(33.53435949*F266)</f>
        <v>693512.04643534473</v>
      </c>
      <c r="P266">
        <f>M266-O266</f>
        <v>-43031.986435344676</v>
      </c>
    </row>
    <row r="267" spans="1:16">
      <c r="A267" s="4" t="s">
        <v>58</v>
      </c>
      <c r="B267" s="6">
        <v>45658</v>
      </c>
      <c r="C267" s="4" t="s">
        <v>20</v>
      </c>
      <c r="D267" s="4" t="s">
        <v>16</v>
      </c>
      <c r="E267" s="4">
        <v>70488.2</v>
      </c>
      <c r="F267" s="4">
        <v>4312</v>
      </c>
      <c r="G267" s="4">
        <v>0.16900000000000001</v>
      </c>
      <c r="H267" s="4">
        <v>12</v>
      </c>
      <c r="I267" s="4">
        <v>90.2</v>
      </c>
      <c r="J267" s="4">
        <v>3.71</v>
      </c>
      <c r="K267" s="4">
        <v>0</v>
      </c>
      <c r="L267" s="4">
        <v>3.2</v>
      </c>
      <c r="M267" s="4">
        <v>577732.56999999995</v>
      </c>
      <c r="N267" s="4">
        <v>93804.27</v>
      </c>
      <c r="O267">
        <f>396109.2647+(1.143827975*E267)+(33.53435949*F267)</f>
        <v>621335.797888275</v>
      </c>
      <c r="P267">
        <f>M267-O267</f>
        <v>-43603.227888275054</v>
      </c>
    </row>
    <row r="268" spans="1:16">
      <c r="A268" s="4" t="s">
        <v>65</v>
      </c>
      <c r="B268" s="6">
        <v>45717</v>
      </c>
      <c r="C268" s="4" t="s">
        <v>15</v>
      </c>
      <c r="D268" s="4" t="s">
        <v>16</v>
      </c>
      <c r="E268" s="4">
        <v>68040.149999999994</v>
      </c>
      <c r="F268" s="4">
        <v>9826</v>
      </c>
      <c r="G268" s="4">
        <v>0.125</v>
      </c>
      <c r="H268" s="4">
        <v>20</v>
      </c>
      <c r="I268" s="4">
        <v>83.9</v>
      </c>
      <c r="J268" s="4">
        <v>9.1199999999999992</v>
      </c>
      <c r="K268" s="4">
        <v>0</v>
      </c>
      <c r="L268" s="4">
        <v>3.6</v>
      </c>
      <c r="M268" s="4">
        <v>758138.29</v>
      </c>
      <c r="N268" s="4">
        <v>132975.26</v>
      </c>
      <c r="O268">
        <f>396109.2647+(1.143827975*E268)+(33.53435949*F268)</f>
        <v>803444.1080419363</v>
      </c>
      <c r="P268">
        <f>M268-O268</f>
        <v>-45305.818041936262</v>
      </c>
    </row>
    <row r="269" spans="1:16">
      <c r="A269" s="4" t="s">
        <v>51</v>
      </c>
      <c r="B269" s="6">
        <v>45717</v>
      </c>
      <c r="C269" s="4" t="s">
        <v>27</v>
      </c>
      <c r="D269" s="4" t="s">
        <v>16</v>
      </c>
      <c r="E269" s="4">
        <v>42415.47</v>
      </c>
      <c r="F269" s="4">
        <v>8512</v>
      </c>
      <c r="G269" s="4">
        <v>0.13300000000000001</v>
      </c>
      <c r="H269" s="4">
        <v>18</v>
      </c>
      <c r="I269" s="4">
        <v>96.8</v>
      </c>
      <c r="J269" s="4">
        <v>14.95</v>
      </c>
      <c r="K269" s="4">
        <v>0</v>
      </c>
      <c r="L269" s="4">
        <v>4.5999999999999996</v>
      </c>
      <c r="M269" s="4">
        <v>684217.32</v>
      </c>
      <c r="N269" s="4">
        <v>136217.19</v>
      </c>
      <c r="O269">
        <f>396109.2647+(1.143827975*E269)+(33.53435949*F269)</f>
        <v>730069.73383765318</v>
      </c>
      <c r="P269">
        <f>M269-O269</f>
        <v>-45852.413837653236</v>
      </c>
    </row>
    <row r="270" spans="1:16">
      <c r="A270" s="4" t="s">
        <v>50</v>
      </c>
      <c r="B270" s="6">
        <v>45717</v>
      </c>
      <c r="C270" s="4" t="s">
        <v>27</v>
      </c>
      <c r="D270" s="4" t="s">
        <v>28</v>
      </c>
      <c r="E270" s="4">
        <v>33605.18</v>
      </c>
      <c r="F270" s="4">
        <v>9225</v>
      </c>
      <c r="G270" s="4">
        <v>0.159</v>
      </c>
      <c r="H270" s="4">
        <v>23</v>
      </c>
      <c r="I270" s="4">
        <v>88.4</v>
      </c>
      <c r="J270" s="4">
        <v>5.91</v>
      </c>
      <c r="K270" s="4">
        <v>0</v>
      </c>
      <c r="L270" s="4">
        <v>2.8</v>
      </c>
      <c r="M270" s="4">
        <v>697287.9</v>
      </c>
      <c r="N270" s="4">
        <v>128208.33</v>
      </c>
      <c r="O270">
        <f>396109.2647+(1.143827975*E270)+(33.53435949*F270)</f>
        <v>743902.27598416049</v>
      </c>
      <c r="P270">
        <f>M270-O270</f>
        <v>-46614.375984160462</v>
      </c>
    </row>
    <row r="271" spans="1:16">
      <c r="A271" s="4" t="s">
        <v>78</v>
      </c>
      <c r="B271" s="6">
        <v>45717</v>
      </c>
      <c r="C271" s="4" t="s">
        <v>15</v>
      </c>
      <c r="D271" s="4" t="s">
        <v>28</v>
      </c>
      <c r="E271" s="4">
        <v>42932.02</v>
      </c>
      <c r="F271" s="4">
        <v>3872</v>
      </c>
      <c r="G271" s="4">
        <v>0.17100000000000001</v>
      </c>
      <c r="H271" s="4">
        <v>12</v>
      </c>
      <c r="I271" s="4">
        <v>83.2</v>
      </c>
      <c r="J271" s="4">
        <v>15.58</v>
      </c>
      <c r="K271" s="4">
        <v>0</v>
      </c>
      <c r="L271" s="4">
        <v>3.3</v>
      </c>
      <c r="M271" s="4">
        <v>527681.56000000006</v>
      </c>
      <c r="N271" s="4">
        <v>63153.05</v>
      </c>
      <c r="O271">
        <f>396109.2647+(1.143827975*E271)+(33.53435949*F271)</f>
        <v>575061.15014453954</v>
      </c>
      <c r="P271">
        <f>M271-O271</f>
        <v>-47379.590144539485</v>
      </c>
    </row>
    <row r="272" spans="1:16">
      <c r="A272" s="4" t="s">
        <v>71</v>
      </c>
      <c r="B272" s="6">
        <v>45717</v>
      </c>
      <c r="C272" s="4" t="s">
        <v>20</v>
      </c>
      <c r="D272" s="4" t="s">
        <v>16</v>
      </c>
      <c r="E272" s="4">
        <v>54479.33</v>
      </c>
      <c r="F272" s="4">
        <v>5012</v>
      </c>
      <c r="G272" s="4">
        <v>0.28399999999999997</v>
      </c>
      <c r="H272" s="4">
        <v>13</v>
      </c>
      <c r="I272" s="4">
        <v>86</v>
      </c>
      <c r="J272" s="4">
        <v>2.2400000000000002</v>
      </c>
      <c r="K272" s="4">
        <v>1</v>
      </c>
      <c r="L272" s="4">
        <v>4.3</v>
      </c>
      <c r="M272" s="4">
        <v>578949.84</v>
      </c>
      <c r="N272" s="4">
        <v>80253.649999999994</v>
      </c>
      <c r="O272">
        <f>396109.2647+(1.143827975*E272)+(33.53435949*F272)</f>
        <v>626498.45617713674</v>
      </c>
      <c r="P272">
        <f>M272-O272</f>
        <v>-47548.616177136777</v>
      </c>
    </row>
    <row r="273" spans="1:16">
      <c r="A273" s="4" t="s">
        <v>36</v>
      </c>
      <c r="B273" s="6">
        <v>45689</v>
      </c>
      <c r="C273" s="4" t="s">
        <v>15</v>
      </c>
      <c r="D273" s="4" t="s">
        <v>21</v>
      </c>
      <c r="E273" s="4">
        <v>59405.68</v>
      </c>
      <c r="F273" s="4">
        <v>2515</v>
      </c>
      <c r="G273" s="4">
        <v>3.9E-2</v>
      </c>
      <c r="H273" s="4">
        <v>12</v>
      </c>
      <c r="I273" s="4">
        <v>76</v>
      </c>
      <c r="J273" s="4">
        <v>5.1100000000000003</v>
      </c>
      <c r="K273" s="4">
        <v>0</v>
      </c>
      <c r="L273" s="4">
        <v>3.7</v>
      </c>
      <c r="M273" s="4">
        <v>500298.48</v>
      </c>
      <c r="N273" s="4">
        <v>73461.320000000007</v>
      </c>
      <c r="O273">
        <f>396109.2647+(1.143827975*E273)+(33.53435949*F273)</f>
        <v>548398.057475248</v>
      </c>
      <c r="P273">
        <f>M273-O273</f>
        <v>-48099.577475248021</v>
      </c>
    </row>
    <row r="274" spans="1:16">
      <c r="A274" s="4" t="s">
        <v>41</v>
      </c>
      <c r="B274" s="6">
        <v>45748</v>
      </c>
      <c r="C274" s="4" t="s">
        <v>24</v>
      </c>
      <c r="D274" s="4" t="s">
        <v>18</v>
      </c>
      <c r="E274" s="4">
        <v>77999.899999999994</v>
      </c>
      <c r="F274" s="4">
        <v>5974</v>
      </c>
      <c r="G274" s="4">
        <v>0.252</v>
      </c>
      <c r="H274" s="4">
        <v>14</v>
      </c>
      <c r="I274" s="4">
        <v>81.3</v>
      </c>
      <c r="J274" s="4">
        <v>2.39</v>
      </c>
      <c r="K274" s="4">
        <v>0</v>
      </c>
      <c r="L274" s="4">
        <v>3.2</v>
      </c>
      <c r="M274" s="4">
        <v>636561.34</v>
      </c>
      <c r="N274" s="4">
        <v>93861.06</v>
      </c>
      <c r="O274">
        <f>396109.2647+(1.143827975*E274)+(33.53435949*F274)</f>
        <v>685661.99596046249</v>
      </c>
      <c r="P274">
        <f>M274-O274</f>
        <v>-49100.655960462522</v>
      </c>
    </row>
    <row r="275" spans="1:16">
      <c r="A275" s="4" t="s">
        <v>36</v>
      </c>
      <c r="B275" s="6">
        <v>45748</v>
      </c>
      <c r="C275" s="4" t="s">
        <v>15</v>
      </c>
      <c r="D275" s="4" t="s">
        <v>21</v>
      </c>
      <c r="E275" s="4">
        <v>52952.12</v>
      </c>
      <c r="F275" s="4">
        <v>4377</v>
      </c>
      <c r="G275" s="4">
        <v>9.1999999999999998E-2</v>
      </c>
      <c r="H275" s="4">
        <v>14</v>
      </c>
      <c r="I275" s="4">
        <v>88.6</v>
      </c>
      <c r="J275" s="4">
        <v>13.59</v>
      </c>
      <c r="K275" s="4">
        <v>0</v>
      </c>
      <c r="L275" s="4">
        <v>3.1</v>
      </c>
      <c r="M275" s="4">
        <v>553756.43000000005</v>
      </c>
      <c r="N275" s="4">
        <v>86166.77</v>
      </c>
      <c r="O275">
        <f>396109.2647+(1.143827975*E275)+(33.53435949*F275)</f>
        <v>603457.27237928705</v>
      </c>
      <c r="P275">
        <f>M275-O275</f>
        <v>-49700.842379287002</v>
      </c>
    </row>
    <row r="276" spans="1:16">
      <c r="A276" s="4" t="s">
        <v>36</v>
      </c>
      <c r="B276" s="6">
        <v>45717</v>
      </c>
      <c r="C276" s="4" t="s">
        <v>15</v>
      </c>
      <c r="D276" s="4" t="s">
        <v>21</v>
      </c>
      <c r="E276" s="4">
        <v>118910.48</v>
      </c>
      <c r="F276" s="4">
        <v>4022</v>
      </c>
      <c r="G276" s="4">
        <v>0.13700000000000001</v>
      </c>
      <c r="H276" s="4">
        <v>11</v>
      </c>
      <c r="I276" s="4">
        <v>87.1</v>
      </c>
      <c r="J276" s="4">
        <v>0.2</v>
      </c>
      <c r="K276" s="4">
        <v>0</v>
      </c>
      <c r="L276" s="4">
        <v>3.1</v>
      </c>
      <c r="M276" s="4">
        <v>617291.15</v>
      </c>
      <c r="N276" s="4">
        <v>117782</v>
      </c>
      <c r="O276">
        <f>396109.2647+(1.143827975*E276)+(33.53435949*F276)</f>
        <v>666997.59211345809</v>
      </c>
      <c r="P276">
        <f>M276-O276</f>
        <v>-49706.442113458063</v>
      </c>
    </row>
    <row r="277" spans="1:16">
      <c r="A277" s="4" t="s">
        <v>77</v>
      </c>
      <c r="B277" s="6">
        <v>45748</v>
      </c>
      <c r="C277" s="4" t="s">
        <v>15</v>
      </c>
      <c r="D277" s="4" t="s">
        <v>18</v>
      </c>
      <c r="E277" s="4">
        <v>73540.990000000005</v>
      </c>
      <c r="F277" s="4">
        <v>8773</v>
      </c>
      <c r="G277" s="4">
        <v>3.5000000000000003E-2</v>
      </c>
      <c r="H277" s="4">
        <v>21</v>
      </c>
      <c r="I277" s="4">
        <v>84.4</v>
      </c>
      <c r="J277" s="4">
        <v>6.68</v>
      </c>
      <c r="K277" s="4">
        <v>0</v>
      </c>
      <c r="L277" s="4">
        <v>3.6</v>
      </c>
      <c r="M277" s="4">
        <v>723531.4</v>
      </c>
      <c r="N277" s="4">
        <v>108794.85</v>
      </c>
      <c r="O277">
        <f>396109.2647+(1.143827975*E277)+(33.53435949*F277)</f>
        <v>774424.4421769653</v>
      </c>
      <c r="P277">
        <f>M277-O277</f>
        <v>-50893.042176965275</v>
      </c>
    </row>
    <row r="278" spans="1:16">
      <c r="A278" s="4" t="s">
        <v>55</v>
      </c>
      <c r="B278" s="6">
        <v>45658</v>
      </c>
      <c r="C278" s="4" t="s">
        <v>20</v>
      </c>
      <c r="D278" s="4" t="s">
        <v>18</v>
      </c>
      <c r="E278" s="4">
        <v>70276.28</v>
      </c>
      <c r="F278" s="4">
        <v>3043</v>
      </c>
      <c r="G278" s="4">
        <v>7.9000000000000001E-2</v>
      </c>
      <c r="H278" s="4">
        <v>9</v>
      </c>
      <c r="I278" s="4">
        <v>87.9</v>
      </c>
      <c r="J278" s="4">
        <v>3.77</v>
      </c>
      <c r="K278" s="4">
        <v>0</v>
      </c>
      <c r="L278" s="4">
        <v>4.4000000000000004</v>
      </c>
      <c r="M278" s="4">
        <v>527300.13</v>
      </c>
      <c r="N278" s="4">
        <v>84197.87</v>
      </c>
      <c r="O278">
        <f>396109.2647+(1.143827975*E278)+(33.53435949*F278)</f>
        <v>578538.29567100306</v>
      </c>
      <c r="P278">
        <f>M278-O278</f>
        <v>-51238.165671003051</v>
      </c>
    </row>
    <row r="279" spans="1:16">
      <c r="A279" s="4" t="s">
        <v>54</v>
      </c>
      <c r="B279" s="6">
        <v>45717</v>
      </c>
      <c r="C279" s="4" t="s">
        <v>15</v>
      </c>
      <c r="D279" s="4" t="s">
        <v>18</v>
      </c>
      <c r="E279" s="4">
        <v>50735.63</v>
      </c>
      <c r="F279" s="4">
        <v>9619</v>
      </c>
      <c r="G279" s="4">
        <v>0.14399999999999999</v>
      </c>
      <c r="H279" s="4">
        <v>19</v>
      </c>
      <c r="I279" s="4">
        <v>93.8</v>
      </c>
      <c r="J279" s="4">
        <v>5.12</v>
      </c>
      <c r="K279" s="4">
        <v>1</v>
      </c>
      <c r="L279" s="4">
        <v>4.5</v>
      </c>
      <c r="M279" s="4">
        <v>725235.28</v>
      </c>
      <c r="N279" s="4">
        <v>121632.24</v>
      </c>
      <c r="O279">
        <f>396109.2647+(1.143827975*E279)+(33.53435949*F279)</f>
        <v>776709.10155755922</v>
      </c>
      <c r="P279">
        <f>M279-O279</f>
        <v>-51473.821557559189</v>
      </c>
    </row>
    <row r="280" spans="1:16">
      <c r="A280" s="4" t="s">
        <v>101</v>
      </c>
      <c r="B280" s="6">
        <v>45658</v>
      </c>
      <c r="C280" s="4" t="s">
        <v>15</v>
      </c>
      <c r="D280" s="4" t="s">
        <v>16</v>
      </c>
      <c r="E280" s="4">
        <v>76614.320000000007</v>
      </c>
      <c r="F280" s="4">
        <v>5639</v>
      </c>
      <c r="G280" s="4">
        <v>0.17399999999999999</v>
      </c>
      <c r="H280" s="4">
        <v>15</v>
      </c>
      <c r="I280" s="4">
        <v>92.9</v>
      </c>
      <c r="J280" s="4">
        <v>1.02</v>
      </c>
      <c r="K280" s="4">
        <v>1</v>
      </c>
      <c r="L280" s="4">
        <v>4</v>
      </c>
      <c r="M280" s="4">
        <v>620264.19999999995</v>
      </c>
      <c r="N280" s="4">
        <v>91365.64</v>
      </c>
      <c r="O280">
        <f>396109.2647+(1.143827975*E280)+(33.53435949*F280)</f>
        <v>672843.12036571209</v>
      </c>
      <c r="P280">
        <f>M280-O280</f>
        <v>-52578.92036571214</v>
      </c>
    </row>
    <row r="281" spans="1:16">
      <c r="A281" s="4" t="s">
        <v>69</v>
      </c>
      <c r="B281" s="6">
        <v>45748</v>
      </c>
      <c r="C281" s="4" t="s">
        <v>15</v>
      </c>
      <c r="D281" s="4" t="s">
        <v>18</v>
      </c>
      <c r="E281" s="4">
        <v>54966.18</v>
      </c>
      <c r="F281" s="4">
        <v>4423</v>
      </c>
      <c r="G281" s="4">
        <v>0.186</v>
      </c>
      <c r="H281" s="4">
        <v>13</v>
      </c>
      <c r="I281" s="4">
        <v>88.7</v>
      </c>
      <c r="J281" s="4">
        <v>0.2</v>
      </c>
      <c r="K281" s="4">
        <v>0</v>
      </c>
      <c r="L281" s="4">
        <v>4.4000000000000004</v>
      </c>
      <c r="M281" s="4">
        <v>554012.06999999995</v>
      </c>
      <c r="N281" s="4">
        <v>81101.62</v>
      </c>
      <c r="O281">
        <f>396109.2647+(1.143827975*E281)+(33.53435949*F281)</f>
        <v>607303.59108715551</v>
      </c>
      <c r="P281">
        <f>M281-O281</f>
        <v>-53291.521087155561</v>
      </c>
    </row>
    <row r="282" spans="1:16">
      <c r="A282" s="4" t="s">
        <v>70</v>
      </c>
      <c r="B282" s="6">
        <v>45658</v>
      </c>
      <c r="C282" s="4" t="s">
        <v>27</v>
      </c>
      <c r="D282" s="4" t="s">
        <v>16</v>
      </c>
      <c r="E282" s="4">
        <v>81796.740000000005</v>
      </c>
      <c r="F282" s="4">
        <v>6177</v>
      </c>
      <c r="G282" s="4">
        <v>0.16400000000000001</v>
      </c>
      <c r="H282" s="4">
        <v>14</v>
      </c>
      <c r="I282" s="4">
        <v>87.9</v>
      </c>
      <c r="J282" s="4">
        <v>0.53</v>
      </c>
      <c r="K282" s="4">
        <v>0</v>
      </c>
      <c r="L282" s="4">
        <v>3.2</v>
      </c>
      <c r="M282" s="4">
        <v>643428.85</v>
      </c>
      <c r="N282" s="4">
        <v>94477.63</v>
      </c>
      <c r="O282">
        <f>396109.2647+(1.143827975*E282)+(33.53435949*F282)</f>
        <v>696812.40274553152</v>
      </c>
      <c r="P282">
        <f>M282-O282</f>
        <v>-53383.552745531546</v>
      </c>
    </row>
    <row r="283" spans="1:16">
      <c r="A283" s="4" t="s">
        <v>62</v>
      </c>
      <c r="B283" s="6">
        <v>45717</v>
      </c>
      <c r="C283" s="4" t="s">
        <v>24</v>
      </c>
      <c r="D283" s="4" t="s">
        <v>18</v>
      </c>
      <c r="E283" s="4">
        <v>57143.3</v>
      </c>
      <c r="F283" s="4">
        <v>8038</v>
      </c>
      <c r="G283" s="4">
        <v>0.193</v>
      </c>
      <c r="H283" s="4">
        <v>17</v>
      </c>
      <c r="I283" s="4">
        <v>72.599999999999994</v>
      </c>
      <c r="J283" s="4"/>
      <c r="K283" s="4">
        <v>0</v>
      </c>
      <c r="L283" s="4">
        <v>4.2</v>
      </c>
      <c r="M283" s="4">
        <v>677096.71</v>
      </c>
      <c r="N283" s="4">
        <v>97174.11</v>
      </c>
      <c r="O283">
        <f>396109.2647+(1.143827975*E283)+(33.53435949*F283)</f>
        <v>731020.55140443752</v>
      </c>
      <c r="P283">
        <f>M283-O283</f>
        <v>-53923.841404437553</v>
      </c>
    </row>
    <row r="284" spans="1:16">
      <c r="A284" s="4" t="s">
        <v>39</v>
      </c>
      <c r="B284" s="6">
        <v>45689</v>
      </c>
      <c r="C284" s="4" t="s">
        <v>15</v>
      </c>
      <c r="D284" s="4" t="s">
        <v>18</v>
      </c>
      <c r="E284" s="4">
        <v>36813.449999999997</v>
      </c>
      <c r="F284" s="4">
        <v>2834</v>
      </c>
      <c r="G284" s="4">
        <v>0.191</v>
      </c>
      <c r="H284" s="4">
        <v>11</v>
      </c>
      <c r="I284" s="4">
        <v>81.8</v>
      </c>
      <c r="J284" s="4">
        <v>2.33</v>
      </c>
      <c r="K284" s="4">
        <v>0</v>
      </c>
      <c r="L284" s="4">
        <v>3.3</v>
      </c>
      <c r="M284" s="4">
        <v>479050.5</v>
      </c>
      <c r="N284" s="4">
        <v>53651.11</v>
      </c>
      <c r="O284">
        <f>396109.2647+(1.143827975*E284)+(33.53435949*F284)</f>
        <v>533253.89346092369</v>
      </c>
      <c r="P284">
        <f>M284-O284</f>
        <v>-54203.393460923689</v>
      </c>
    </row>
    <row r="285" spans="1:16">
      <c r="A285" s="4" t="s">
        <v>40</v>
      </c>
      <c r="B285" s="6">
        <v>45689</v>
      </c>
      <c r="C285" s="4" t="s">
        <v>15</v>
      </c>
      <c r="D285" s="4" t="s">
        <v>16</v>
      </c>
      <c r="E285" s="4">
        <v>53762.92</v>
      </c>
      <c r="F285" s="4">
        <v>6821</v>
      </c>
      <c r="G285" s="4">
        <v>6.6000000000000003E-2</v>
      </c>
      <c r="H285" s="4">
        <v>19</v>
      </c>
      <c r="I285" s="4">
        <v>94.6</v>
      </c>
      <c r="J285" s="4">
        <v>7.03</v>
      </c>
      <c r="K285" s="4">
        <v>0</v>
      </c>
      <c r="L285" s="4">
        <v>4.4000000000000004</v>
      </c>
      <c r="M285" s="4">
        <v>630829.93999999994</v>
      </c>
      <c r="N285" s="4">
        <v>117090.02</v>
      </c>
      <c r="O285">
        <f>396109.2647+(1.143827975*E285)+(33.53435949*F285)</f>
        <v>686342.66269497701</v>
      </c>
      <c r="P285">
        <f>M285-O285</f>
        <v>-55512.72269497707</v>
      </c>
    </row>
    <row r="286" spans="1:16">
      <c r="A286" s="4" t="s">
        <v>79</v>
      </c>
      <c r="B286" s="6">
        <v>45717</v>
      </c>
      <c r="C286" s="4" t="s">
        <v>15</v>
      </c>
      <c r="D286" s="4" t="s">
        <v>18</v>
      </c>
      <c r="E286" s="4">
        <v>33173.949999999997</v>
      </c>
      <c r="F286" s="4">
        <v>6545</v>
      </c>
      <c r="G286" s="4">
        <v>0.16900000000000001</v>
      </c>
      <c r="H286" s="4">
        <v>15</v>
      </c>
      <c r="I286" s="4">
        <v>84.4</v>
      </c>
      <c r="J286" s="4">
        <v>2.48</v>
      </c>
      <c r="K286" s="4">
        <v>0</v>
      </c>
      <c r="L286" s="4">
        <v>3.9</v>
      </c>
      <c r="M286" s="4">
        <v>596969.27</v>
      </c>
      <c r="N286" s="4">
        <v>105669.51</v>
      </c>
      <c r="O286">
        <f>396109.2647+(1.143827975*E286)+(33.53435949*F286)</f>
        <v>653536.93961330119</v>
      </c>
      <c r="P286">
        <f>M286-O286</f>
        <v>-56567.669613301172</v>
      </c>
    </row>
    <row r="287" spans="1:16">
      <c r="A287" s="4" t="s">
        <v>92</v>
      </c>
      <c r="B287" s="6">
        <v>45658</v>
      </c>
      <c r="C287" s="4" t="s">
        <v>24</v>
      </c>
      <c r="D287" s="4" t="s">
        <v>18</v>
      </c>
      <c r="E287" s="4">
        <v>45940.39</v>
      </c>
      <c r="F287" s="4">
        <v>4022</v>
      </c>
      <c r="G287" s="4">
        <v>6.9000000000000006E-2</v>
      </c>
      <c r="H287" s="4">
        <v>10</v>
      </c>
      <c r="I287" s="4">
        <v>83</v>
      </c>
      <c r="J287" s="4">
        <v>1.23</v>
      </c>
      <c r="K287" s="4">
        <v>1</v>
      </c>
      <c r="L287" s="4">
        <v>3.8</v>
      </c>
      <c r="M287" s="4">
        <v>524899.56999999995</v>
      </c>
      <c r="N287" s="4">
        <v>63619.98</v>
      </c>
      <c r="O287">
        <f>396109.2647+(1.143827975*E287)+(33.53435949*F287)</f>
        <v>583532.36183319031</v>
      </c>
      <c r="P287">
        <f>M287-O287</f>
        <v>-58632.791833190364</v>
      </c>
    </row>
    <row r="288" spans="1:16">
      <c r="A288" s="4" t="s">
        <v>40</v>
      </c>
      <c r="B288" s="6">
        <v>45748</v>
      </c>
      <c r="C288" s="4" t="s">
        <v>15</v>
      </c>
      <c r="D288" s="4" t="s">
        <v>16</v>
      </c>
      <c r="E288" s="4">
        <v>58749.63</v>
      </c>
      <c r="F288" s="4">
        <v>8252</v>
      </c>
      <c r="G288" s="4">
        <v>0.20300000000000001</v>
      </c>
      <c r="H288" s="4">
        <v>20</v>
      </c>
      <c r="I288" s="4">
        <v>85.2</v>
      </c>
      <c r="J288" s="4">
        <v>3.61</v>
      </c>
      <c r="K288" s="4">
        <v>0</v>
      </c>
      <c r="L288" s="4">
        <v>4.5</v>
      </c>
      <c r="M288" s="4">
        <v>680840.36</v>
      </c>
      <c r="N288" s="4">
        <v>68007.679999999993</v>
      </c>
      <c r="O288">
        <f>396109.2647+(1.143827975*E288)+(33.53435949*F288)</f>
        <v>740034.26952637918</v>
      </c>
      <c r="P288">
        <f>M288-O288</f>
        <v>-59193.909526379197</v>
      </c>
    </row>
    <row r="289" spans="1:16">
      <c r="A289" s="4" t="s">
        <v>81</v>
      </c>
      <c r="B289" s="6">
        <v>45658</v>
      </c>
      <c r="C289" s="4" t="s">
        <v>27</v>
      </c>
      <c r="D289" s="4" t="s">
        <v>28</v>
      </c>
      <c r="E289" s="4">
        <v>46495.4</v>
      </c>
      <c r="F289" s="4">
        <v>9908</v>
      </c>
      <c r="G289" s="4">
        <v>0.121</v>
      </c>
      <c r="H289" s="4">
        <v>22</v>
      </c>
      <c r="I289" s="4">
        <v>89.4</v>
      </c>
      <c r="J289" s="4">
        <v>3.22</v>
      </c>
      <c r="K289" s="4">
        <v>0</v>
      </c>
      <c r="L289" s="4">
        <v>3.7</v>
      </c>
      <c r="M289" s="4">
        <v>721079.35</v>
      </c>
      <c r="N289" s="4">
        <v>115295.05</v>
      </c>
      <c r="O289">
        <f>396109.2647+(1.143827975*E289)+(33.53435949*F289)</f>
        <v>781550.43775573501</v>
      </c>
      <c r="P289">
        <f>M289-O289</f>
        <v>-60471.087755735032</v>
      </c>
    </row>
    <row r="290" spans="1:16">
      <c r="A290" s="4" t="s">
        <v>72</v>
      </c>
      <c r="B290" s="6">
        <v>45717</v>
      </c>
      <c r="C290" s="4" t="s">
        <v>15</v>
      </c>
      <c r="D290" s="4" t="s">
        <v>21</v>
      </c>
      <c r="E290" s="4">
        <v>35203.230000000003</v>
      </c>
      <c r="F290" s="4">
        <v>6896</v>
      </c>
      <c r="G290" s="4">
        <v>3.2000000000000001E-2</v>
      </c>
      <c r="H290" s="4">
        <v>14</v>
      </c>
      <c r="I290" s="4">
        <v>80.8</v>
      </c>
      <c r="J290" s="4">
        <v>8.44</v>
      </c>
      <c r="K290" s="4">
        <v>1</v>
      </c>
      <c r="L290" s="4">
        <v>5</v>
      </c>
      <c r="M290" s="4">
        <v>607084.92000000004</v>
      </c>
      <c r="N290" s="4">
        <v>98558.49</v>
      </c>
      <c r="O290">
        <f>396109.2647+(1.143827975*E290)+(33.53435949*F290)</f>
        <v>667628.64702739927</v>
      </c>
      <c r="P290">
        <f>M290-O290</f>
        <v>-60543.727027399233</v>
      </c>
    </row>
    <row r="291" spans="1:16">
      <c r="A291" s="4" t="s">
        <v>101</v>
      </c>
      <c r="B291" s="6">
        <v>45748</v>
      </c>
      <c r="C291" s="4" t="s">
        <v>15</v>
      </c>
      <c r="D291" s="4" t="s">
        <v>16</v>
      </c>
      <c r="E291" s="4">
        <v>40553.11</v>
      </c>
      <c r="F291" s="4">
        <v>5317</v>
      </c>
      <c r="G291" s="4">
        <v>0.16500000000000001</v>
      </c>
      <c r="H291" s="4">
        <v>17</v>
      </c>
      <c r="I291" s="4">
        <v>84.3</v>
      </c>
      <c r="J291" s="4">
        <v>11.82</v>
      </c>
      <c r="K291" s="4">
        <v>0</v>
      </c>
      <c r="L291" s="4">
        <v>4.0999999999999996</v>
      </c>
      <c r="M291" s="4">
        <v>559660.84</v>
      </c>
      <c r="N291" s="4">
        <v>71443.61</v>
      </c>
      <c r="O291">
        <f>396109.2647+(1.143827975*E291)+(33.53435949*F291)</f>
        <v>620797.23579958221</v>
      </c>
      <c r="P291">
        <f>M291-O291</f>
        <v>-61136.395799582242</v>
      </c>
    </row>
    <row r="292" spans="1:16">
      <c r="A292" s="4" t="s">
        <v>89</v>
      </c>
      <c r="B292" s="6">
        <v>45658</v>
      </c>
      <c r="C292" s="4" t="s">
        <v>15</v>
      </c>
      <c r="D292" s="4" t="s">
        <v>28</v>
      </c>
      <c r="E292" s="4">
        <v>48752.92</v>
      </c>
      <c r="F292" s="4">
        <v>8052</v>
      </c>
      <c r="G292" s="4">
        <v>0.106</v>
      </c>
      <c r="H292" s="4">
        <v>16</v>
      </c>
      <c r="I292" s="4">
        <v>94.9</v>
      </c>
      <c r="J292" s="4">
        <v>0.65</v>
      </c>
      <c r="K292" s="4">
        <v>0</v>
      </c>
      <c r="L292" s="4">
        <v>3.6</v>
      </c>
      <c r="M292" s="4">
        <v>660633.99</v>
      </c>
      <c r="N292" s="4">
        <v>118768.66</v>
      </c>
      <c r="O292">
        <f>396109.2647+(1.143827975*E292)+(33.53435949*F292)</f>
        <v>721892.88107241702</v>
      </c>
      <c r="P292">
        <f>M292-O292</f>
        <v>-61258.891072417027</v>
      </c>
    </row>
    <row r="293" spans="1:16">
      <c r="A293" s="4" t="s">
        <v>73</v>
      </c>
      <c r="B293" s="6">
        <v>45748</v>
      </c>
      <c r="C293" s="4" t="s">
        <v>15</v>
      </c>
      <c r="D293" s="4" t="s">
        <v>28</v>
      </c>
      <c r="E293" s="4">
        <v>56413.83</v>
      </c>
      <c r="F293" s="4">
        <v>8303</v>
      </c>
      <c r="G293" s="4">
        <v>0.11600000000000001</v>
      </c>
      <c r="H293" s="4">
        <v>18</v>
      </c>
      <c r="I293" s="4">
        <v>93.6</v>
      </c>
      <c r="J293" s="4">
        <v>2.7</v>
      </c>
      <c r="K293" s="4">
        <v>0</v>
      </c>
      <c r="L293" s="4">
        <v>3.7</v>
      </c>
      <c r="M293" s="4">
        <v>675917.63</v>
      </c>
      <c r="N293" s="4">
        <v>112564.75</v>
      </c>
      <c r="O293">
        <f>396109.2647+(1.143827975*E293)+(33.53435949*F293)</f>
        <v>739072.7684763642</v>
      </c>
      <c r="P293">
        <f>M293-O293</f>
        <v>-63155.138476364198</v>
      </c>
    </row>
    <row r="294" spans="1:16">
      <c r="A294" s="4" t="s">
        <v>99</v>
      </c>
      <c r="B294" s="6">
        <v>45689</v>
      </c>
      <c r="C294" s="4" t="s">
        <v>24</v>
      </c>
      <c r="D294" s="4" t="s">
        <v>18</v>
      </c>
      <c r="E294" s="4">
        <v>23702.38</v>
      </c>
      <c r="F294" s="4">
        <v>5285</v>
      </c>
      <c r="G294" s="4">
        <v>0.16700000000000001</v>
      </c>
      <c r="H294" s="4">
        <v>14</v>
      </c>
      <c r="I294" s="4">
        <v>79.7</v>
      </c>
      <c r="J294" s="4">
        <v>1.1000000000000001</v>
      </c>
      <c r="K294" s="4">
        <v>0</v>
      </c>
      <c r="L294" s="4">
        <v>4.3</v>
      </c>
      <c r="M294" s="4">
        <v>536524.84</v>
      </c>
      <c r="N294" s="4">
        <v>92752.94</v>
      </c>
      <c r="O294">
        <f>396109.2647+(1.143827975*E294)+(33.53435949*F294)</f>
        <v>600449.79992273054</v>
      </c>
      <c r="P294">
        <f>M294-O294</f>
        <v>-63924.959922730573</v>
      </c>
    </row>
    <row r="295" spans="1:16">
      <c r="A295" s="4" t="s">
        <v>52</v>
      </c>
      <c r="B295" s="6">
        <v>45658</v>
      </c>
      <c r="C295" s="4" t="s">
        <v>20</v>
      </c>
      <c r="D295" s="4" t="s">
        <v>18</v>
      </c>
      <c r="E295" s="4">
        <v>43896.13</v>
      </c>
      <c r="F295" s="4">
        <v>3853</v>
      </c>
      <c r="G295" s="4">
        <v>8.7999999999999995E-2</v>
      </c>
      <c r="H295" s="4">
        <v>13</v>
      </c>
      <c r="I295" s="4">
        <v>83</v>
      </c>
      <c r="J295" s="4">
        <v>6.8</v>
      </c>
      <c r="K295" s="4">
        <v>0</v>
      </c>
      <c r="L295" s="4">
        <v>4.4000000000000004</v>
      </c>
      <c r="M295" s="4">
        <v>509484.81</v>
      </c>
      <c r="N295" s="4">
        <v>85742.36</v>
      </c>
      <c r="O295">
        <f>396109.2647+(1.143827975*E295)+(33.53435949*F295)</f>
        <v>575526.77330320678</v>
      </c>
      <c r="P295">
        <f>M295-O295</f>
        <v>-66041.96330320678</v>
      </c>
    </row>
    <row r="296" spans="1:16">
      <c r="A296" s="4" t="s">
        <v>79</v>
      </c>
      <c r="B296" s="6">
        <v>45658</v>
      </c>
      <c r="C296" s="4" t="s">
        <v>15</v>
      </c>
      <c r="D296" s="4" t="s">
        <v>18</v>
      </c>
      <c r="E296" s="4">
        <v>37324.230000000003</v>
      </c>
      <c r="F296" s="4">
        <v>5957</v>
      </c>
      <c r="G296" s="4">
        <v>7.0999999999999994E-2</v>
      </c>
      <c r="H296" s="4">
        <v>12</v>
      </c>
      <c r="I296" s="4">
        <v>85.9</v>
      </c>
      <c r="J296" s="4">
        <v>0.37</v>
      </c>
      <c r="K296" s="4">
        <v>0</v>
      </c>
      <c r="L296" s="4">
        <v>3.8</v>
      </c>
      <c r="M296" s="4">
        <v>570963.31000000006</v>
      </c>
      <c r="N296" s="4">
        <v>87342.25</v>
      </c>
      <c r="O296">
        <f>396109.2647+(1.143827975*E296)+(33.53435949*F296)</f>
        <v>638565.94260126422</v>
      </c>
      <c r="P296">
        <f>M296-O296</f>
        <v>-67602.632601264166</v>
      </c>
    </row>
    <row r="297" spans="1:16">
      <c r="A297" s="4" t="s">
        <v>22</v>
      </c>
      <c r="B297" s="6">
        <v>45689</v>
      </c>
      <c r="C297" s="4" t="s">
        <v>15</v>
      </c>
      <c r="D297" s="4" t="s">
        <v>16</v>
      </c>
      <c r="E297" s="4">
        <v>55716.82</v>
      </c>
      <c r="F297" s="4">
        <v>10054</v>
      </c>
      <c r="G297" s="4">
        <v>0.14599999999999999</v>
      </c>
      <c r="H297" s="4">
        <v>24</v>
      </c>
      <c r="I297" s="4">
        <v>84.9</v>
      </c>
      <c r="J297" s="4">
        <v>1.06</v>
      </c>
      <c r="K297" s="4">
        <v>0</v>
      </c>
      <c r="L297" s="4">
        <v>4.3</v>
      </c>
      <c r="M297" s="4">
        <v>726606.28</v>
      </c>
      <c r="N297" s="4">
        <v>122729.29</v>
      </c>
      <c r="O297">
        <f>396109.2647+(1.143827975*E297)+(33.53435949*F297)</f>
        <v>796994.17240649951</v>
      </c>
      <c r="P297">
        <f>M297-O297</f>
        <v>-70387.892406499479</v>
      </c>
    </row>
    <row r="298" spans="1:16">
      <c r="A298" s="4" t="s">
        <v>96</v>
      </c>
      <c r="B298" s="6">
        <v>45748</v>
      </c>
      <c r="C298" s="4" t="s">
        <v>27</v>
      </c>
      <c r="D298" s="4" t="s">
        <v>18</v>
      </c>
      <c r="E298" s="4">
        <v>24362.98</v>
      </c>
      <c r="F298" s="4">
        <v>1462</v>
      </c>
      <c r="G298" s="4">
        <v>0.11700000000000001</v>
      </c>
      <c r="H298" s="4">
        <v>6</v>
      </c>
      <c r="I298" s="4">
        <v>89.3</v>
      </c>
      <c r="J298" s="4">
        <v>15.06</v>
      </c>
      <c r="K298" s="4">
        <v>0</v>
      </c>
      <c r="L298" s="4">
        <v>3.2</v>
      </c>
      <c r="M298" s="4">
        <v>401582.58</v>
      </c>
      <c r="N298" s="4">
        <v>68454.929999999993</v>
      </c>
      <c r="O298">
        <f>396109.2647+(1.143827975*E298)+(33.53435949*F298)</f>
        <v>473003.55635274551</v>
      </c>
      <c r="P298">
        <f>M298-O298</f>
        <v>-71420.976352745492</v>
      </c>
    </row>
    <row r="299" spans="1:16">
      <c r="A299" s="4" t="s">
        <v>30</v>
      </c>
      <c r="B299" s="6">
        <v>45689</v>
      </c>
      <c r="C299" s="4" t="s">
        <v>20</v>
      </c>
      <c r="D299" s="4" t="s">
        <v>16</v>
      </c>
      <c r="E299" s="4">
        <v>73771.91</v>
      </c>
      <c r="F299" s="4">
        <v>11695</v>
      </c>
      <c r="G299" s="4">
        <v>7.0000000000000007E-2</v>
      </c>
      <c r="H299" s="4">
        <v>25</v>
      </c>
      <c r="I299" s="4">
        <v>84.7</v>
      </c>
      <c r="J299" s="4">
        <v>0.62</v>
      </c>
      <c r="K299" s="4">
        <v>0</v>
      </c>
      <c r="L299" s="4"/>
      <c r="M299" s="4">
        <v>799477.76000000001</v>
      </c>
      <c r="N299" s="4">
        <v>164974.41</v>
      </c>
      <c r="O299">
        <f>396109.2647+(1.143827975*E299)+(33.53435949*F299)</f>
        <v>872675.97336273221</v>
      </c>
      <c r="P299">
        <f>M299-O299</f>
        <v>-73198.213362732204</v>
      </c>
    </row>
    <row r="300" spans="1:16">
      <c r="A300" s="4" t="s">
        <v>73</v>
      </c>
      <c r="B300" s="6">
        <v>45717</v>
      </c>
      <c r="C300" s="4" t="s">
        <v>15</v>
      </c>
      <c r="D300" s="4" t="s">
        <v>28</v>
      </c>
      <c r="E300" s="4">
        <v>37983.35</v>
      </c>
      <c r="F300" s="4">
        <v>9283</v>
      </c>
      <c r="G300" s="4">
        <v>0.14899999999999999</v>
      </c>
      <c r="H300" s="4">
        <v>19</v>
      </c>
      <c r="I300" s="4">
        <v>83.2</v>
      </c>
      <c r="J300" s="4">
        <v>3.82</v>
      </c>
      <c r="K300" s="4">
        <v>0</v>
      </c>
      <c r="L300" s="4">
        <v>3.7</v>
      </c>
      <c r="M300" s="4">
        <v>671868.59</v>
      </c>
      <c r="N300" s="4">
        <v>71003.28</v>
      </c>
      <c r="O300">
        <f>396109.2647+(1.143827975*E300)+(33.53435949*F300)</f>
        <v>750855.14215988619</v>
      </c>
      <c r="P300">
        <f>M300-O300</f>
        <v>-78986.552159886225</v>
      </c>
    </row>
    <row r="301" spans="1:16">
      <c r="A301" s="4" t="s">
        <v>29</v>
      </c>
      <c r="B301" s="6">
        <v>45748</v>
      </c>
      <c r="C301" s="4" t="s">
        <v>15</v>
      </c>
      <c r="D301" s="4" t="s">
        <v>16</v>
      </c>
      <c r="E301" s="4">
        <v>69816.350000000006</v>
      </c>
      <c r="F301" s="4">
        <v>971</v>
      </c>
      <c r="G301" s="4">
        <v>0.16800000000000001</v>
      </c>
      <c r="H301" s="4">
        <v>5</v>
      </c>
      <c r="I301" s="4">
        <v>89.9</v>
      </c>
      <c r="J301" s="4">
        <v>12.15</v>
      </c>
      <c r="K301" s="4">
        <v>0</v>
      </c>
      <c r="L301" s="4">
        <v>3.6</v>
      </c>
      <c r="M301" s="4">
        <v>427917.38</v>
      </c>
      <c r="N301" s="4">
        <v>81824.31</v>
      </c>
      <c r="O301">
        <f>396109.2647+(1.143827975*E301)+(33.53435949*F301)</f>
        <v>508529.02200718131</v>
      </c>
      <c r="P301">
        <f>M301-O301</f>
        <v>-80611.642007181305</v>
      </c>
    </row>
    <row r="302" spans="1:16">
      <c r="A302" s="4" t="s">
        <v>91</v>
      </c>
      <c r="B302" s="6">
        <v>45658</v>
      </c>
      <c r="C302" s="4" t="s">
        <v>24</v>
      </c>
      <c r="D302" s="4" t="s">
        <v>16</v>
      </c>
      <c r="E302" s="4">
        <v>61784.11</v>
      </c>
      <c r="F302" s="4">
        <v>8564</v>
      </c>
      <c r="G302" s="4">
        <v>0.13</v>
      </c>
      <c r="H302" s="4">
        <v>17</v>
      </c>
      <c r="I302" s="4">
        <v>87.4</v>
      </c>
      <c r="J302" s="4">
        <v>18.14</v>
      </c>
      <c r="K302" s="4">
        <v>1</v>
      </c>
      <c r="L302" s="4">
        <v>3.4</v>
      </c>
      <c r="M302" s="4">
        <v>673076.34</v>
      </c>
      <c r="N302" s="4">
        <v>93899.76</v>
      </c>
      <c r="O302">
        <f>396109.2647+(1.143827975*E302)+(33.53435949*F302)</f>
        <v>753967.91280083731</v>
      </c>
      <c r="P302">
        <f>M302-O302</f>
        <v>-80891.572800837341</v>
      </c>
    </row>
    <row r="303" spans="1:16">
      <c r="A303" s="4" t="s">
        <v>55</v>
      </c>
      <c r="B303" s="6">
        <v>45689</v>
      </c>
      <c r="C303" s="4" t="s">
        <v>20</v>
      </c>
      <c r="D303" s="4" t="s">
        <v>18</v>
      </c>
      <c r="E303" s="4">
        <v>22071.64</v>
      </c>
      <c r="F303" s="4">
        <v>1814</v>
      </c>
      <c r="G303" s="4">
        <v>0.19600000000000001</v>
      </c>
      <c r="H303" s="4">
        <v>8</v>
      </c>
      <c r="I303" s="4">
        <v>81.099999999999994</v>
      </c>
      <c r="J303" s="4">
        <v>0.78</v>
      </c>
      <c r="K303" s="4">
        <v>0</v>
      </c>
      <c r="L303" s="4"/>
      <c r="M303" s="4">
        <v>400831.65</v>
      </c>
      <c r="N303" s="4">
        <v>70979.31</v>
      </c>
      <c r="O303">
        <f>396109.2647+(1.143827975*E303)+(33.53435949*F303)</f>
        <v>482186.75210098899</v>
      </c>
      <c r="P303">
        <f>M303-O303</f>
        <v>-81355.102100988966</v>
      </c>
    </row>
    <row r="304" spans="1:16">
      <c r="A304" s="4" t="s">
        <v>89</v>
      </c>
      <c r="B304" s="6">
        <v>45748</v>
      </c>
      <c r="C304" s="4" t="s">
        <v>15</v>
      </c>
      <c r="D304" s="4" t="s">
        <v>28</v>
      </c>
      <c r="E304" s="4">
        <v>29344.93</v>
      </c>
      <c r="F304" s="4">
        <v>7446</v>
      </c>
      <c r="G304" s="4">
        <v>0.111</v>
      </c>
      <c r="H304" s="4">
        <v>15</v>
      </c>
      <c r="I304" s="4">
        <v>86.2</v>
      </c>
      <c r="J304" s="4">
        <v>0.2</v>
      </c>
      <c r="K304" s="4">
        <v>0</v>
      </c>
      <c r="L304" s="4">
        <v>3.2</v>
      </c>
      <c r="M304" s="4">
        <v>593343</v>
      </c>
      <c r="N304" s="4">
        <v>82832.240000000005</v>
      </c>
      <c r="O304">
        <f>396109.2647+(1.143827975*E304)+(33.53435949*F304)</f>
        <v>679371.6573209567</v>
      </c>
      <c r="P304">
        <f>M304-O304</f>
        <v>-86028.6573209567</v>
      </c>
    </row>
    <row r="305" spans="1:16">
      <c r="A305" s="4" t="s">
        <v>14</v>
      </c>
      <c r="B305" s="6">
        <v>45717</v>
      </c>
      <c r="C305" s="4" t="s">
        <v>15</v>
      </c>
      <c r="D305" s="4" t="s">
        <v>16</v>
      </c>
      <c r="E305" s="4">
        <v>59921.75</v>
      </c>
      <c r="F305" s="4">
        <v>9113</v>
      </c>
      <c r="G305" s="4">
        <v>0.13300000000000001</v>
      </c>
      <c r="H305" s="4">
        <v>20</v>
      </c>
      <c r="I305" s="4">
        <v>88</v>
      </c>
      <c r="J305" s="4">
        <v>12</v>
      </c>
      <c r="K305" s="4">
        <v>0</v>
      </c>
      <c r="L305" s="4">
        <v>3.2</v>
      </c>
      <c r="M305" s="4">
        <v>678722.06</v>
      </c>
      <c r="N305" s="4">
        <v>101883.86</v>
      </c>
      <c r="O305">
        <f>396109.2647+(1.143827975*E305)+(33.53435949*F305)</f>
        <v>770248.05669332622</v>
      </c>
      <c r="P305">
        <f>M305-O305</f>
        <v>-91525.99669332616</v>
      </c>
    </row>
    <row r="306" spans="1:16">
      <c r="A306" s="4" t="s">
        <v>26</v>
      </c>
      <c r="B306" s="6">
        <v>45689</v>
      </c>
      <c r="C306" s="4" t="s">
        <v>27</v>
      </c>
      <c r="D306" s="4" t="s">
        <v>28</v>
      </c>
      <c r="E306" s="4">
        <v>172415.52</v>
      </c>
      <c r="F306" s="4">
        <v>8927</v>
      </c>
      <c r="G306" s="4">
        <v>0.14000000000000001</v>
      </c>
      <c r="H306" s="4">
        <v>22</v>
      </c>
      <c r="I306" s="4">
        <v>86.2</v>
      </c>
      <c r="J306" s="4">
        <v>7.04</v>
      </c>
      <c r="K306" s="4">
        <v>0</v>
      </c>
      <c r="L306" s="4">
        <v>3.9</v>
      </c>
      <c r="M306" s="4">
        <v>800451.94</v>
      </c>
      <c r="N306" s="4">
        <v>111572.29</v>
      </c>
      <c r="O306">
        <f>396109.2647+(1.143827975*E306)+(33.53435949*F306)</f>
        <v>892684.186967402</v>
      </c>
      <c r="P306">
        <f>M306-O306</f>
        <v>-92232.246967402054</v>
      </c>
    </row>
    <row r="307" spans="1:16">
      <c r="A307" s="4" t="s">
        <v>74</v>
      </c>
      <c r="B307" s="6">
        <v>45689</v>
      </c>
      <c r="C307" s="4" t="s">
        <v>15</v>
      </c>
      <c r="D307" s="4" t="s">
        <v>18</v>
      </c>
      <c r="E307" s="4">
        <v>62949.7</v>
      </c>
      <c r="F307" s="4">
        <v>9458</v>
      </c>
      <c r="G307" s="4">
        <v>0.17100000000000001</v>
      </c>
      <c r="H307" s="4">
        <v>19</v>
      </c>
      <c r="I307" s="4">
        <v>84.9</v>
      </c>
      <c r="J307" s="4">
        <v>5.09</v>
      </c>
      <c r="K307" s="4">
        <v>0</v>
      </c>
      <c r="L307" s="4">
        <v>3.3</v>
      </c>
      <c r="M307" s="4">
        <v>691288.19</v>
      </c>
      <c r="N307" s="4">
        <v>159074.14000000001</v>
      </c>
      <c r="O307">
        <f>396109.2647+(1.143827975*E307)+(33.53435949*F307)</f>
        <v>785280.86463427753</v>
      </c>
      <c r="P307">
        <f>M307-O307</f>
        <v>-93992.674634277588</v>
      </c>
    </row>
    <row r="308" spans="1:16">
      <c r="A308" s="4" t="s">
        <v>64</v>
      </c>
      <c r="B308" s="6">
        <v>45689</v>
      </c>
      <c r="C308" s="4" t="s">
        <v>15</v>
      </c>
      <c r="D308" s="4" t="s">
        <v>16</v>
      </c>
      <c r="E308" s="4">
        <v>32834.480000000003</v>
      </c>
      <c r="F308" s="4">
        <v>7576</v>
      </c>
      <c r="G308" s="4">
        <v>9.9000000000000005E-2</v>
      </c>
      <c r="H308" s="4">
        <v>15</v>
      </c>
      <c r="I308" s="4">
        <v>84.1</v>
      </c>
      <c r="J308" s="4">
        <v>3.48</v>
      </c>
      <c r="K308" s="4">
        <v>0</v>
      </c>
      <c r="L308" s="4">
        <v>5</v>
      </c>
      <c r="M308" s="4">
        <v>593637.14</v>
      </c>
      <c r="N308" s="4">
        <v>106648.14</v>
      </c>
      <c r="O308">
        <f>396109.2647+(1.143827975*E308)+(33.53435949*F308)</f>
        <v>687722.56896481803</v>
      </c>
      <c r="P308">
        <f>M308-O308</f>
        <v>-94085.428964818013</v>
      </c>
    </row>
    <row r="309" spans="1:16">
      <c r="A309" s="4" t="s">
        <v>14</v>
      </c>
      <c r="B309" s="6">
        <v>45658</v>
      </c>
      <c r="C309" s="4" t="s">
        <v>15</v>
      </c>
      <c r="D309" s="4" t="s">
        <v>16</v>
      </c>
      <c r="E309" s="4">
        <v>70389.11</v>
      </c>
      <c r="F309" s="4">
        <v>8302</v>
      </c>
      <c r="G309" s="4">
        <v>4.2000000000000003E-2</v>
      </c>
      <c r="H309" s="4">
        <v>17</v>
      </c>
      <c r="I309" s="4">
        <v>75</v>
      </c>
      <c r="J309" s="4">
        <v>5.28</v>
      </c>
      <c r="K309" s="4">
        <v>1</v>
      </c>
      <c r="L309" s="4">
        <v>3.1</v>
      </c>
      <c r="M309" s="4">
        <v>658832.62</v>
      </c>
      <c r="N309" s="4">
        <v>84349.93</v>
      </c>
      <c r="O309">
        <f>396109.2647+(1.143827975*E309)+(33.53435949*F309)</f>
        <v>755024.55033933232</v>
      </c>
      <c r="P309">
        <f>M309-O309</f>
        <v>-96191.930339332321</v>
      </c>
    </row>
    <row r="310" spans="1:16">
      <c r="A310" s="4" t="s">
        <v>14</v>
      </c>
      <c r="B310" s="6">
        <v>45689</v>
      </c>
      <c r="C310" s="4" t="s">
        <v>15</v>
      </c>
      <c r="D310" s="4" t="s">
        <v>16</v>
      </c>
      <c r="E310" s="4">
        <v>43827.89</v>
      </c>
      <c r="F310" s="4">
        <v>8487</v>
      </c>
      <c r="G310" s="4">
        <v>0.16800000000000001</v>
      </c>
      <c r="H310" s="4">
        <v>23</v>
      </c>
      <c r="I310" s="4">
        <v>84.4</v>
      </c>
      <c r="J310" s="4">
        <v>4.3099999999999996</v>
      </c>
      <c r="K310" s="4">
        <v>0</v>
      </c>
      <c r="L310" s="4">
        <v>2.8</v>
      </c>
      <c r="M310" s="4">
        <v>634436</v>
      </c>
      <c r="N310" s="4">
        <v>106130.54</v>
      </c>
      <c r="O310">
        <f>396109.2647+(1.143827975*E310)+(33.53435949*F310)</f>
        <v>730846.94035885273</v>
      </c>
      <c r="P310">
        <f>M310-O310</f>
        <v>-96410.940358852735</v>
      </c>
    </row>
    <row r="311" spans="1:16">
      <c r="A311" s="4" t="s">
        <v>29</v>
      </c>
      <c r="B311" s="6">
        <v>45658</v>
      </c>
      <c r="C311" s="4" t="s">
        <v>15</v>
      </c>
      <c r="D311" s="4" t="s">
        <v>16</v>
      </c>
      <c r="E311" s="4">
        <v>68600.62</v>
      </c>
      <c r="F311" s="4">
        <v>3988</v>
      </c>
      <c r="G311" s="4">
        <v>0.124</v>
      </c>
      <c r="H311" s="4">
        <v>11</v>
      </c>
      <c r="I311" s="4">
        <v>85</v>
      </c>
      <c r="J311" s="4">
        <v>0.48</v>
      </c>
      <c r="K311" s="4">
        <v>0</v>
      </c>
      <c r="L311" s="4">
        <v>3.6</v>
      </c>
      <c r="M311" s="4">
        <v>511844.41</v>
      </c>
      <c r="N311" s="4">
        <v>72774.44</v>
      </c>
      <c r="O311">
        <f>396109.2647+(1.143827975*E311)+(33.53435949*F311)</f>
        <v>608311.59860446444</v>
      </c>
      <c r="P311">
        <f>M311-O311</f>
        <v>-96467.188604464463</v>
      </c>
    </row>
    <row r="312" spans="1:16">
      <c r="A312" s="4" t="s">
        <v>70</v>
      </c>
      <c r="B312" s="6">
        <v>45748</v>
      </c>
      <c r="C312" s="4" t="s">
        <v>27</v>
      </c>
      <c r="D312" s="4" t="s">
        <v>16</v>
      </c>
      <c r="E312" s="4">
        <v>41657.64</v>
      </c>
      <c r="F312" s="4">
        <v>3135</v>
      </c>
      <c r="G312" s="4">
        <v>0.22900000000000001</v>
      </c>
      <c r="H312" s="4">
        <v>7</v>
      </c>
      <c r="I312" s="4">
        <v>85.4</v>
      </c>
      <c r="J312" s="4">
        <v>13.48</v>
      </c>
      <c r="K312" s="4">
        <v>0</v>
      </c>
      <c r="L312" s="4"/>
      <c r="M312" s="4">
        <v>449465.06</v>
      </c>
      <c r="N312" s="4">
        <v>65694.78</v>
      </c>
      <c r="O312">
        <f>396109.2647+(1.143827975*E312)+(33.53435949*F312)</f>
        <v>548888.65570562903</v>
      </c>
      <c r="P312">
        <f>M312-O312</f>
        <v>-99423.595705629035</v>
      </c>
    </row>
    <row r="313" spans="1:16">
      <c r="A313" s="4" t="s">
        <v>35</v>
      </c>
      <c r="B313" s="6">
        <v>45658</v>
      </c>
      <c r="C313" s="4" t="s">
        <v>27</v>
      </c>
      <c r="D313" s="4" t="s">
        <v>18</v>
      </c>
      <c r="E313" s="4">
        <v>53015.46</v>
      </c>
      <c r="F313" s="4">
        <v>3279</v>
      </c>
      <c r="G313" s="4">
        <v>8.6999999999999994E-2</v>
      </c>
      <c r="H313" s="4">
        <v>9</v>
      </c>
      <c r="I313" s="4">
        <v>84.3</v>
      </c>
      <c r="J313" s="4">
        <v>22.02</v>
      </c>
      <c r="K313" s="4">
        <v>0</v>
      </c>
      <c r="L313" s="4">
        <v>3.9</v>
      </c>
      <c r="M313" s="4">
        <v>463534.25</v>
      </c>
      <c r="N313" s="4">
        <v>81834.539999999994</v>
      </c>
      <c r="O313">
        <f>396109.2647+(1.143827975*E313)+(33.53435949*F313)</f>
        <v>566708.99572320352</v>
      </c>
      <c r="P313">
        <f>M313-O313</f>
        <v>-103174.74572320352</v>
      </c>
    </row>
    <row r="314" spans="1:16">
      <c r="A314" s="4" t="s">
        <v>98</v>
      </c>
      <c r="B314" s="6">
        <v>45689</v>
      </c>
      <c r="C314" s="4" t="s">
        <v>24</v>
      </c>
      <c r="D314" s="4" t="s">
        <v>16</v>
      </c>
      <c r="E314" s="4">
        <v>46146.239999999998</v>
      </c>
      <c r="F314" s="4">
        <v>5804</v>
      </c>
      <c r="G314" s="4">
        <v>4.7E-2</v>
      </c>
      <c r="H314" s="4">
        <v>16</v>
      </c>
      <c r="I314" s="4">
        <v>86.9</v>
      </c>
      <c r="J314" s="4">
        <v>15.82</v>
      </c>
      <c r="K314" s="4">
        <v>0</v>
      </c>
      <c r="L314" s="4">
        <v>3.8</v>
      </c>
      <c r="M314" s="4">
        <v>538376</v>
      </c>
      <c r="N314" s="4">
        <v>87605.62</v>
      </c>
      <c r="O314">
        <f>396109.2647+(1.143827975*E314)+(33.53435949*F314)</f>
        <v>643526.04743302404</v>
      </c>
      <c r="P314">
        <f>M314-O314</f>
        <v>-105150.04743302404</v>
      </c>
    </row>
    <row r="315" spans="1:16">
      <c r="A315" s="4" t="s">
        <v>56</v>
      </c>
      <c r="B315" s="6">
        <v>45658</v>
      </c>
      <c r="C315" s="4" t="s">
        <v>24</v>
      </c>
      <c r="D315" s="4" t="s">
        <v>16</v>
      </c>
      <c r="E315" s="4">
        <v>71320.66</v>
      </c>
      <c r="F315" s="4">
        <v>7888</v>
      </c>
      <c r="G315" s="4">
        <v>4.8000000000000001E-2</v>
      </c>
      <c r="H315" s="4">
        <v>20</v>
      </c>
      <c r="I315" s="4">
        <v>78.099999999999994</v>
      </c>
      <c r="J315" s="4">
        <v>3.4</v>
      </c>
      <c r="K315" s="4">
        <v>0</v>
      </c>
      <c r="L315" s="4"/>
      <c r="M315" s="4">
        <v>633638.03</v>
      </c>
      <c r="N315" s="4">
        <v>99402.01</v>
      </c>
      <c r="O315">
        <f>396109.2647+(1.143827975*E315)+(33.53435949*F315)</f>
        <v>742206.85846058349</v>
      </c>
      <c r="P315">
        <f>M315-O315</f>
        <v>-108568.82846058346</v>
      </c>
    </row>
    <row r="316" spans="1:16">
      <c r="A316" s="4" t="s">
        <v>25</v>
      </c>
      <c r="B316" s="6">
        <v>45658</v>
      </c>
      <c r="C316" s="4" t="s">
        <v>20</v>
      </c>
      <c r="D316" s="4" t="s">
        <v>16</v>
      </c>
      <c r="E316" s="4">
        <v>30356.28</v>
      </c>
      <c r="F316" s="4">
        <v>2822</v>
      </c>
      <c r="G316" s="4">
        <v>0.23100000000000001</v>
      </c>
      <c r="H316" s="4">
        <v>9</v>
      </c>
      <c r="I316" s="4">
        <v>84.8</v>
      </c>
      <c r="J316" s="4">
        <v>6.95</v>
      </c>
      <c r="K316" s="4">
        <v>0</v>
      </c>
      <c r="L316" s="4">
        <v>5</v>
      </c>
      <c r="M316" s="4">
        <v>415721.82</v>
      </c>
      <c r="N316" s="4">
        <v>61179.15</v>
      </c>
      <c r="O316">
        <f>396109.2647+(1.143827975*E316)+(33.53435949*F316)</f>
        <v>525465.58946171298</v>
      </c>
      <c r="P316">
        <f>M316-O316</f>
        <v>-109743.76946171297</v>
      </c>
    </row>
    <row r="317" spans="1:16">
      <c r="A317" s="4" t="s">
        <v>44</v>
      </c>
      <c r="B317" s="6">
        <v>45689</v>
      </c>
      <c r="C317" s="4" t="s">
        <v>24</v>
      </c>
      <c r="D317" s="4" t="s">
        <v>28</v>
      </c>
      <c r="E317" s="4">
        <v>141540.29</v>
      </c>
      <c r="F317" s="4">
        <v>5400</v>
      </c>
      <c r="G317" s="4">
        <v>1.2999999999999999E-2</v>
      </c>
      <c r="H317" s="4">
        <v>12</v>
      </c>
      <c r="I317" s="4">
        <v>87</v>
      </c>
      <c r="J317" s="4">
        <v>4.26</v>
      </c>
      <c r="K317" s="4">
        <v>0</v>
      </c>
      <c r="L317" s="4">
        <v>4.5</v>
      </c>
      <c r="M317" s="4">
        <v>627171.9</v>
      </c>
      <c r="N317" s="4">
        <v>105772.75</v>
      </c>
      <c r="O317">
        <f>396109.2647+(1.143827975*E317)+(33.53435949*F317)</f>
        <v>739092.54923761275</v>
      </c>
      <c r="P317">
        <f>M317-O317</f>
        <v>-111920.64923761273</v>
      </c>
    </row>
    <row r="318" spans="1:16">
      <c r="A318" s="4" t="s">
        <v>14</v>
      </c>
      <c r="B318" s="6">
        <v>45748</v>
      </c>
      <c r="C318" s="4" t="s">
        <v>15</v>
      </c>
      <c r="D318" s="4" t="s">
        <v>16</v>
      </c>
      <c r="E318" s="4">
        <v>56856.63</v>
      </c>
      <c r="F318" s="4">
        <v>9431</v>
      </c>
      <c r="G318" s="4">
        <v>0.14199999999999999</v>
      </c>
      <c r="H318" s="4">
        <v>23</v>
      </c>
      <c r="I318" s="4">
        <v>86.9</v>
      </c>
      <c r="J318" s="4">
        <v>4.97</v>
      </c>
      <c r="K318" s="4">
        <v>0</v>
      </c>
      <c r="L318" s="4">
        <v>3.4</v>
      </c>
      <c r="M318" s="4">
        <v>658920.30000000005</v>
      </c>
      <c r="N318" s="4">
        <v>97910.37</v>
      </c>
      <c r="O318">
        <f>396109.2647+(1.143827975*E318)+(33.53435949*F318)</f>
        <v>777406.01300841419</v>
      </c>
      <c r="P318">
        <f>M318-O318</f>
        <v>-118485.71300841414</v>
      </c>
    </row>
    <row r="319" spans="1:16">
      <c r="A319" s="4" t="s">
        <v>38</v>
      </c>
      <c r="B319" s="6">
        <v>45717</v>
      </c>
      <c r="C319" s="4" t="s">
        <v>27</v>
      </c>
      <c r="D319" s="4" t="s">
        <v>18</v>
      </c>
      <c r="E319" s="4">
        <v>79346.100000000006</v>
      </c>
      <c r="F319" s="4">
        <v>9628</v>
      </c>
      <c r="G319" s="4">
        <v>0.10199999999999999</v>
      </c>
      <c r="H319" s="4">
        <v>20</v>
      </c>
      <c r="I319" s="4">
        <v>99</v>
      </c>
      <c r="J319" s="4">
        <v>19.010000000000002</v>
      </c>
      <c r="K319" s="4">
        <v>1</v>
      </c>
      <c r="L319" s="4">
        <v>3.2</v>
      </c>
      <c r="M319" s="4">
        <v>685379.08</v>
      </c>
      <c r="N319" s="4">
        <v>106898.82</v>
      </c>
      <c r="O319">
        <f>396109.2647+(1.143827975*E319)+(33.53435949*F319)</f>
        <v>809736.3667568675</v>
      </c>
      <c r="P319">
        <f>M319-O319</f>
        <v>-124357.28675686754</v>
      </c>
    </row>
    <row r="320" spans="1:16">
      <c r="A320" s="4" t="s">
        <v>33</v>
      </c>
      <c r="B320" s="6">
        <v>45658</v>
      </c>
      <c r="C320" s="4" t="s">
        <v>27</v>
      </c>
      <c r="D320" s="4" t="s">
        <v>16</v>
      </c>
      <c r="E320" s="4">
        <v>138855.51</v>
      </c>
      <c r="F320" s="4">
        <v>5145</v>
      </c>
      <c r="G320" s="4">
        <v>0.06</v>
      </c>
      <c r="H320" s="4">
        <v>17</v>
      </c>
      <c r="I320" s="4">
        <v>88.2</v>
      </c>
      <c r="J320" s="4">
        <v>9.58</v>
      </c>
      <c r="K320" s="4">
        <v>0</v>
      </c>
      <c r="L320" s="4">
        <v>3.2</v>
      </c>
      <c r="M320" s="4">
        <v>595467.6</v>
      </c>
      <c r="N320" s="4">
        <v>104276.46</v>
      </c>
      <c r="O320">
        <f>396109.2647+(1.143827975*E320)+(33.53435949*F320)</f>
        <v>727470.36109694222</v>
      </c>
      <c r="P320">
        <f>M320-O320</f>
        <v>-132002.76109694224</v>
      </c>
    </row>
    <row r="321" spans="1:16">
      <c r="A321" s="4" t="s">
        <v>30</v>
      </c>
      <c r="B321" s="6">
        <v>45658</v>
      </c>
      <c r="C321" s="4" t="s">
        <v>20</v>
      </c>
      <c r="D321" s="4" t="s">
        <v>16</v>
      </c>
      <c r="E321" s="4">
        <v>54597.83</v>
      </c>
      <c r="F321" s="4">
        <v>9429</v>
      </c>
      <c r="G321" s="4">
        <v>0.188</v>
      </c>
      <c r="H321" s="4">
        <v>21</v>
      </c>
      <c r="I321" s="4">
        <v>83.3</v>
      </c>
      <c r="J321" s="4">
        <v>11.71</v>
      </c>
      <c r="K321" s="4">
        <v>0</v>
      </c>
      <c r="L321" s="4">
        <v>4.2</v>
      </c>
      <c r="M321" s="4">
        <v>641865.03</v>
      </c>
      <c r="N321" s="4">
        <v>81342.58</v>
      </c>
      <c r="O321">
        <f>396109.2647+(1.143827975*E321)+(33.53435949*F321)</f>
        <v>774755.26565950434</v>
      </c>
      <c r="P321">
        <f>M321-O321</f>
        <v>-132890.23565950431</v>
      </c>
    </row>
  </sheetData>
  <sortState xmlns:xlrd2="http://schemas.microsoft.com/office/spreadsheetml/2017/richdata2" ref="A2:P323">
    <sortCondition descending="1" ref="P2:P32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98C8E-51E4-46D7-9AEB-CECDD0535778}">
  <dimension ref="A1:P321"/>
  <sheetViews>
    <sheetView tabSelected="1" zoomScale="87" workbookViewId="0">
      <selection activeCell="E321" sqref="E321"/>
    </sheetView>
  </sheetViews>
  <sheetFormatPr defaultColWidth="11.5703125" defaultRowHeight="15"/>
  <cols>
    <col min="13" max="13" width="13.7109375" customWidth="1"/>
  </cols>
  <sheetData>
    <row r="1" spans="1:16" ht="4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102</v>
      </c>
      <c r="P1" s="5" t="s">
        <v>103</v>
      </c>
    </row>
    <row r="2" spans="1:16">
      <c r="A2" s="4" t="s">
        <v>14</v>
      </c>
      <c r="B2" s="6">
        <v>45658</v>
      </c>
      <c r="C2" s="4" t="s">
        <v>15</v>
      </c>
      <c r="D2" s="4" t="s">
        <v>16</v>
      </c>
      <c r="E2" s="4">
        <v>70389.11</v>
      </c>
      <c r="F2" s="4">
        <v>8302</v>
      </c>
      <c r="G2" s="4">
        <v>4.2000000000000003E-2</v>
      </c>
      <c r="H2" s="4">
        <v>17</v>
      </c>
      <c r="I2" s="4">
        <v>75</v>
      </c>
      <c r="J2" s="4">
        <v>5.28</v>
      </c>
      <c r="K2" s="4">
        <v>1</v>
      </c>
      <c r="L2" s="4">
        <v>3.1</v>
      </c>
      <c r="M2" s="4">
        <v>658832.62</v>
      </c>
      <c r="N2" s="4">
        <v>84349.93</v>
      </c>
      <c r="O2">
        <f>IF(D2="Residential",1,0)</f>
        <v>1</v>
      </c>
      <c r="P2">
        <f>IF(D2="High Street",1,0)</f>
        <v>0</v>
      </c>
    </row>
    <row r="3" spans="1:16">
      <c r="A3" s="4" t="s">
        <v>14</v>
      </c>
      <c r="B3" s="6">
        <v>45689</v>
      </c>
      <c r="C3" s="4" t="s">
        <v>15</v>
      </c>
      <c r="D3" s="4" t="s">
        <v>16</v>
      </c>
      <c r="E3" s="4">
        <v>43827.89</v>
      </c>
      <c r="F3" s="4">
        <v>8487</v>
      </c>
      <c r="G3" s="4">
        <v>0.16800000000000001</v>
      </c>
      <c r="H3" s="4">
        <v>23</v>
      </c>
      <c r="I3" s="4">
        <v>84.4</v>
      </c>
      <c r="J3" s="4">
        <v>4.3099999999999996</v>
      </c>
      <c r="K3" s="4">
        <v>0</v>
      </c>
      <c r="L3" s="4">
        <v>2.8</v>
      </c>
      <c r="M3" s="4">
        <v>634436</v>
      </c>
      <c r="N3" s="4">
        <v>106130.54</v>
      </c>
      <c r="O3">
        <f t="shared" ref="O3:O66" si="0">IF(D3="Residential",1,0)</f>
        <v>1</v>
      </c>
      <c r="P3">
        <f t="shared" ref="P3:P66" si="1">IF(D3="High Street",1,0)</f>
        <v>0</v>
      </c>
    </row>
    <row r="4" spans="1:16">
      <c r="A4" s="4" t="s">
        <v>14</v>
      </c>
      <c r="B4" s="6">
        <v>45717</v>
      </c>
      <c r="C4" s="4" t="s">
        <v>15</v>
      </c>
      <c r="D4" s="4" t="s">
        <v>16</v>
      </c>
      <c r="E4" s="4">
        <v>59921.75</v>
      </c>
      <c r="F4" s="4">
        <v>9113</v>
      </c>
      <c r="G4" s="4">
        <v>0.13300000000000001</v>
      </c>
      <c r="H4" s="4">
        <v>20</v>
      </c>
      <c r="I4" s="4">
        <v>88</v>
      </c>
      <c r="J4" s="4">
        <v>12</v>
      </c>
      <c r="K4" s="4">
        <v>0</v>
      </c>
      <c r="L4" s="4">
        <v>3.2</v>
      </c>
      <c r="M4" s="4">
        <v>678722.06</v>
      </c>
      <c r="N4" s="4">
        <v>101883.86</v>
      </c>
      <c r="O4">
        <f t="shared" si="0"/>
        <v>1</v>
      </c>
      <c r="P4">
        <f t="shared" si="1"/>
        <v>0</v>
      </c>
    </row>
    <row r="5" spans="1:16">
      <c r="A5" s="4" t="s">
        <v>14</v>
      </c>
      <c r="B5" s="6">
        <v>45748</v>
      </c>
      <c r="C5" s="4" t="s">
        <v>15</v>
      </c>
      <c r="D5" s="4" t="s">
        <v>16</v>
      </c>
      <c r="E5" s="4">
        <v>56856.63</v>
      </c>
      <c r="F5" s="4">
        <v>9431</v>
      </c>
      <c r="G5" s="4">
        <v>0.14199999999999999</v>
      </c>
      <c r="H5" s="4">
        <v>23</v>
      </c>
      <c r="I5" s="4">
        <v>86.9</v>
      </c>
      <c r="J5" s="4">
        <v>4.97</v>
      </c>
      <c r="K5" s="4">
        <v>0</v>
      </c>
      <c r="L5" s="4">
        <v>3.4</v>
      </c>
      <c r="M5" s="4">
        <v>658920.30000000005</v>
      </c>
      <c r="N5" s="4">
        <v>97910.37</v>
      </c>
      <c r="O5">
        <f t="shared" si="0"/>
        <v>1</v>
      </c>
      <c r="P5">
        <f t="shared" si="1"/>
        <v>0</v>
      </c>
    </row>
    <row r="6" spans="1:16">
      <c r="A6" s="4" t="s">
        <v>17</v>
      </c>
      <c r="B6" s="6">
        <v>45658</v>
      </c>
      <c r="C6" s="4" t="s">
        <v>15</v>
      </c>
      <c r="D6" s="4" t="s">
        <v>18</v>
      </c>
      <c r="E6" s="4">
        <v>48412.639999999999</v>
      </c>
      <c r="F6" s="4">
        <v>9545</v>
      </c>
      <c r="G6" s="4">
        <v>0.23100000000000001</v>
      </c>
      <c r="H6" s="4">
        <v>21</v>
      </c>
      <c r="I6" s="4">
        <v>97.6</v>
      </c>
      <c r="J6" s="4">
        <v>6.94</v>
      </c>
      <c r="K6" s="4">
        <v>1</v>
      </c>
      <c r="L6" s="4">
        <v>4.2</v>
      </c>
      <c r="M6" s="4">
        <v>741341.44</v>
      </c>
      <c r="N6" s="4">
        <v>119208.17</v>
      </c>
      <c r="O6">
        <f t="shared" si="0"/>
        <v>0</v>
      </c>
      <c r="P6">
        <f t="shared" si="1"/>
        <v>1</v>
      </c>
    </row>
    <row r="7" spans="1:16">
      <c r="A7" s="4" t="s">
        <v>17</v>
      </c>
      <c r="B7" s="6">
        <v>45689</v>
      </c>
      <c r="C7" s="4" t="s">
        <v>15</v>
      </c>
      <c r="D7" s="4" t="s">
        <v>18</v>
      </c>
      <c r="E7" s="4">
        <v>64811.21</v>
      </c>
      <c r="F7" s="4">
        <v>9792</v>
      </c>
      <c r="G7" s="4">
        <v>0.112</v>
      </c>
      <c r="H7" s="4">
        <v>20</v>
      </c>
      <c r="I7" s="4">
        <v>84.2</v>
      </c>
      <c r="J7" s="4">
        <v>2.88</v>
      </c>
      <c r="K7" s="4">
        <v>0</v>
      </c>
      <c r="L7" s="4">
        <v>4.2</v>
      </c>
      <c r="M7" s="4">
        <v>761835.34</v>
      </c>
      <c r="N7" s="4">
        <v>149602.23000000001</v>
      </c>
      <c r="O7">
        <f t="shared" si="0"/>
        <v>0</v>
      </c>
      <c r="P7">
        <f t="shared" si="1"/>
        <v>1</v>
      </c>
    </row>
    <row r="8" spans="1:16">
      <c r="A8" s="4" t="s">
        <v>17</v>
      </c>
      <c r="B8" s="6">
        <v>45717</v>
      </c>
      <c r="C8" s="4" t="s">
        <v>15</v>
      </c>
      <c r="D8" s="4" t="s">
        <v>18</v>
      </c>
      <c r="E8" s="4">
        <v>46213.45</v>
      </c>
      <c r="F8" s="4">
        <v>10616</v>
      </c>
      <c r="G8" s="4">
        <v>0.122</v>
      </c>
      <c r="H8" s="4">
        <v>22</v>
      </c>
      <c r="I8" s="4">
        <v>85.2</v>
      </c>
      <c r="J8" s="4">
        <v>0.2</v>
      </c>
      <c r="K8" s="4">
        <v>1</v>
      </c>
      <c r="L8" s="4">
        <v>4.0999999999999996</v>
      </c>
      <c r="M8" s="4">
        <v>806615.54</v>
      </c>
      <c r="N8" s="4">
        <v>131364.62</v>
      </c>
      <c r="O8">
        <f t="shared" si="0"/>
        <v>0</v>
      </c>
      <c r="P8">
        <f t="shared" si="1"/>
        <v>1</v>
      </c>
    </row>
    <row r="9" spans="1:16">
      <c r="A9" s="4" t="s">
        <v>17</v>
      </c>
      <c r="B9" s="6">
        <v>45748</v>
      </c>
      <c r="C9" s="4" t="s">
        <v>15</v>
      </c>
      <c r="D9" s="4" t="s">
        <v>18</v>
      </c>
      <c r="E9" s="4">
        <v>68148.52</v>
      </c>
      <c r="F9" s="4">
        <v>8567</v>
      </c>
      <c r="G9" s="4">
        <v>0.127</v>
      </c>
      <c r="H9" s="4">
        <v>23</v>
      </c>
      <c r="I9" s="4">
        <v>95.6</v>
      </c>
      <c r="J9" s="4">
        <v>0.8</v>
      </c>
      <c r="K9" s="4">
        <v>0</v>
      </c>
      <c r="L9" s="4">
        <v>3.9</v>
      </c>
      <c r="M9" s="4">
        <v>850164.26</v>
      </c>
      <c r="N9" s="4">
        <v>149262.75</v>
      </c>
      <c r="O9">
        <f t="shared" si="0"/>
        <v>0</v>
      </c>
      <c r="P9">
        <f t="shared" si="1"/>
        <v>1</v>
      </c>
    </row>
    <row r="10" spans="1:16">
      <c r="A10" s="4" t="s">
        <v>19</v>
      </c>
      <c r="B10" s="6">
        <v>45658</v>
      </c>
      <c r="C10" s="4" t="s">
        <v>20</v>
      </c>
      <c r="D10" s="4" t="s">
        <v>21</v>
      </c>
      <c r="E10" s="4">
        <v>71838.86</v>
      </c>
      <c r="F10" s="4">
        <v>10979</v>
      </c>
      <c r="G10" s="4">
        <v>0.215</v>
      </c>
      <c r="H10" s="4">
        <v>26</v>
      </c>
      <c r="I10" s="4">
        <v>88.6</v>
      </c>
      <c r="J10" s="4">
        <v>7.7</v>
      </c>
      <c r="K10" s="4">
        <v>1</v>
      </c>
      <c r="L10" s="4">
        <v>3.8</v>
      </c>
      <c r="M10" s="4">
        <v>930581.7</v>
      </c>
      <c r="N10" s="4">
        <v>136207.98000000001</v>
      </c>
      <c r="O10">
        <f t="shared" si="0"/>
        <v>0</v>
      </c>
      <c r="P10">
        <f t="shared" si="1"/>
        <v>0</v>
      </c>
    </row>
    <row r="11" spans="1:16">
      <c r="A11" s="4" t="s">
        <v>19</v>
      </c>
      <c r="B11" s="6">
        <v>45689</v>
      </c>
      <c r="C11" s="4" t="s">
        <v>20</v>
      </c>
      <c r="D11" s="4" t="s">
        <v>21</v>
      </c>
      <c r="E11" s="4">
        <v>68133.440000000002</v>
      </c>
      <c r="F11" s="4">
        <v>9459</v>
      </c>
      <c r="G11" s="4">
        <v>0.22</v>
      </c>
      <c r="H11" s="4">
        <v>21</v>
      </c>
      <c r="I11" s="4">
        <v>85</v>
      </c>
      <c r="J11" s="4">
        <v>1.91</v>
      </c>
      <c r="K11" s="4">
        <v>0</v>
      </c>
      <c r="L11" s="4">
        <v>4.2</v>
      </c>
      <c r="M11" s="4">
        <v>779010.94</v>
      </c>
      <c r="N11" s="4">
        <v>106328.09</v>
      </c>
      <c r="O11">
        <f t="shared" si="0"/>
        <v>0</v>
      </c>
      <c r="P11">
        <f t="shared" si="1"/>
        <v>0</v>
      </c>
    </row>
    <row r="12" spans="1:16">
      <c r="A12" s="4" t="s">
        <v>19</v>
      </c>
      <c r="B12" s="6">
        <v>45717</v>
      </c>
      <c r="C12" s="4" t="s">
        <v>20</v>
      </c>
      <c r="D12" s="4" t="s">
        <v>21</v>
      </c>
      <c r="E12" s="4">
        <v>34285.21</v>
      </c>
      <c r="F12" s="4">
        <v>9172</v>
      </c>
      <c r="G12" s="4">
        <v>0.21299999999999999</v>
      </c>
      <c r="H12" s="4">
        <v>22</v>
      </c>
      <c r="I12" s="4">
        <v>88.3</v>
      </c>
      <c r="J12" s="4">
        <v>10.46</v>
      </c>
      <c r="K12" s="4">
        <v>1</v>
      </c>
      <c r="L12" s="4">
        <v>3.8</v>
      </c>
      <c r="M12" s="4">
        <v>723060.76</v>
      </c>
      <c r="N12" s="4">
        <v>123131.24</v>
      </c>
      <c r="O12">
        <f t="shared" si="0"/>
        <v>0</v>
      </c>
      <c r="P12">
        <f t="shared" si="1"/>
        <v>0</v>
      </c>
    </row>
    <row r="13" spans="1:16">
      <c r="A13" s="4" t="s">
        <v>19</v>
      </c>
      <c r="B13" s="6">
        <v>45748</v>
      </c>
      <c r="C13" s="4" t="s">
        <v>20</v>
      </c>
      <c r="D13" s="4" t="s">
        <v>21</v>
      </c>
      <c r="E13" s="4">
        <v>67979.88</v>
      </c>
      <c r="F13" s="4">
        <v>11230</v>
      </c>
      <c r="G13" s="4">
        <v>2E-3</v>
      </c>
      <c r="H13" s="4">
        <v>28</v>
      </c>
      <c r="I13" s="4">
        <v>85.3</v>
      </c>
      <c r="J13" s="4">
        <v>7.16</v>
      </c>
      <c r="K13" s="4">
        <v>0</v>
      </c>
      <c r="L13" s="4">
        <v>3.8</v>
      </c>
      <c r="M13" s="4">
        <v>910791.94</v>
      </c>
      <c r="N13" s="4">
        <v>158891.28</v>
      </c>
      <c r="O13">
        <f t="shared" si="0"/>
        <v>0</v>
      </c>
      <c r="P13">
        <f t="shared" si="1"/>
        <v>0</v>
      </c>
    </row>
    <row r="14" spans="1:16">
      <c r="A14" s="4" t="s">
        <v>22</v>
      </c>
      <c r="B14" s="6">
        <v>45658</v>
      </c>
      <c r="C14" s="4" t="s">
        <v>15</v>
      </c>
      <c r="D14" s="4" t="s">
        <v>16</v>
      </c>
      <c r="E14" s="4">
        <v>71828.259999999995</v>
      </c>
      <c r="F14" s="4">
        <v>12775</v>
      </c>
      <c r="G14" s="4">
        <v>0.11600000000000001</v>
      </c>
      <c r="H14" s="4">
        <v>30</v>
      </c>
      <c r="I14" s="4">
        <v>81.7</v>
      </c>
      <c r="J14" s="4">
        <v>4.24</v>
      </c>
      <c r="K14" s="4">
        <v>1</v>
      </c>
      <c r="L14" s="4">
        <v>4.2</v>
      </c>
      <c r="M14" s="4">
        <v>922168.6</v>
      </c>
      <c r="N14" s="4">
        <v>107494.53</v>
      </c>
      <c r="O14">
        <f t="shared" si="0"/>
        <v>1</v>
      </c>
      <c r="P14">
        <f t="shared" si="1"/>
        <v>0</v>
      </c>
    </row>
    <row r="15" spans="1:16">
      <c r="A15" s="4" t="s">
        <v>22</v>
      </c>
      <c r="B15" s="6">
        <v>45689</v>
      </c>
      <c r="C15" s="4" t="s">
        <v>15</v>
      </c>
      <c r="D15" s="4" t="s">
        <v>16</v>
      </c>
      <c r="E15" s="4">
        <v>55716.82</v>
      </c>
      <c r="F15" s="4">
        <v>10054</v>
      </c>
      <c r="G15" s="4">
        <v>0.14599999999999999</v>
      </c>
      <c r="H15" s="4">
        <v>24</v>
      </c>
      <c r="I15" s="4">
        <v>84.9</v>
      </c>
      <c r="J15" s="4">
        <v>1.06</v>
      </c>
      <c r="K15" s="4">
        <v>0</v>
      </c>
      <c r="L15" s="4">
        <v>4.3</v>
      </c>
      <c r="M15" s="4">
        <v>726606.28</v>
      </c>
      <c r="N15" s="4">
        <v>122729.29</v>
      </c>
      <c r="O15">
        <f t="shared" si="0"/>
        <v>1</v>
      </c>
      <c r="P15">
        <f t="shared" si="1"/>
        <v>0</v>
      </c>
    </row>
    <row r="16" spans="1:16">
      <c r="A16" s="4" t="s">
        <v>22</v>
      </c>
      <c r="B16" s="6">
        <v>45717</v>
      </c>
      <c r="C16" s="4" t="s">
        <v>15</v>
      </c>
      <c r="D16" s="4" t="s">
        <v>16</v>
      </c>
      <c r="E16" s="4">
        <v>59909.51</v>
      </c>
      <c r="F16" s="4">
        <v>8895</v>
      </c>
      <c r="G16" s="4">
        <v>0.22800000000000001</v>
      </c>
      <c r="H16" s="4">
        <v>23</v>
      </c>
      <c r="I16" s="4">
        <v>88.8</v>
      </c>
      <c r="J16" s="4">
        <v>0.27</v>
      </c>
      <c r="K16" s="4">
        <v>0</v>
      </c>
      <c r="L16" s="4">
        <v>4.3</v>
      </c>
      <c r="M16" s="4">
        <v>746501.09</v>
      </c>
      <c r="N16" s="4">
        <v>136816.72</v>
      </c>
      <c r="O16">
        <f t="shared" si="0"/>
        <v>1</v>
      </c>
      <c r="P16">
        <f t="shared" si="1"/>
        <v>0</v>
      </c>
    </row>
    <row r="17" spans="1:16">
      <c r="A17" s="4" t="s">
        <v>22</v>
      </c>
      <c r="B17" s="6">
        <v>45748</v>
      </c>
      <c r="C17" s="4" t="s">
        <v>15</v>
      </c>
      <c r="D17" s="4" t="s">
        <v>16</v>
      </c>
      <c r="E17" s="4">
        <v>75305.710000000006</v>
      </c>
      <c r="F17" s="4">
        <v>10940</v>
      </c>
      <c r="G17" s="4">
        <v>6.0000000000000001E-3</v>
      </c>
      <c r="H17" s="4">
        <v>26</v>
      </c>
      <c r="I17" s="4">
        <v>76.5</v>
      </c>
      <c r="J17" s="4">
        <v>1.32</v>
      </c>
      <c r="K17" s="4">
        <v>0</v>
      </c>
      <c r="L17" s="4">
        <v>4.5</v>
      </c>
      <c r="M17" s="4">
        <v>834017.02</v>
      </c>
      <c r="N17" s="4">
        <v>114745.03</v>
      </c>
      <c r="O17">
        <f t="shared" si="0"/>
        <v>1</v>
      </c>
      <c r="P17">
        <f t="shared" si="1"/>
        <v>0</v>
      </c>
    </row>
    <row r="18" spans="1:16">
      <c r="A18" s="4" t="s">
        <v>23</v>
      </c>
      <c r="B18" s="6">
        <v>45658</v>
      </c>
      <c r="C18" s="4" t="s">
        <v>24</v>
      </c>
      <c r="D18" s="4" t="s">
        <v>16</v>
      </c>
      <c r="E18" s="4">
        <v>48804.22</v>
      </c>
      <c r="F18" s="4">
        <v>7057</v>
      </c>
      <c r="G18" s="4">
        <v>5.0000000000000001E-3</v>
      </c>
      <c r="H18" s="4">
        <v>15</v>
      </c>
      <c r="I18" s="4">
        <v>87.7</v>
      </c>
      <c r="J18" s="4">
        <v>1.22</v>
      </c>
      <c r="K18" s="4">
        <v>0</v>
      </c>
      <c r="L18" s="4">
        <v>3.7</v>
      </c>
      <c r="M18" s="4">
        <v>666152.52</v>
      </c>
      <c r="N18" s="4">
        <v>107490.58</v>
      </c>
      <c r="O18">
        <f t="shared" si="0"/>
        <v>1</v>
      </c>
      <c r="P18">
        <f t="shared" si="1"/>
        <v>0</v>
      </c>
    </row>
    <row r="19" spans="1:16">
      <c r="A19" s="4" t="s">
        <v>23</v>
      </c>
      <c r="B19" s="6">
        <v>45689</v>
      </c>
      <c r="C19" s="4" t="s">
        <v>24</v>
      </c>
      <c r="D19" s="4" t="s">
        <v>16</v>
      </c>
      <c r="E19" s="4">
        <v>59117.9</v>
      </c>
      <c r="F19" s="4">
        <v>4263</v>
      </c>
      <c r="G19" s="4">
        <v>0.11899999999999999</v>
      </c>
      <c r="H19" s="4">
        <v>9</v>
      </c>
      <c r="I19" s="4">
        <v>87.6</v>
      </c>
      <c r="J19" s="4">
        <v>4.01</v>
      </c>
      <c r="K19" s="4">
        <v>0</v>
      </c>
      <c r="L19" s="4">
        <v>3.6</v>
      </c>
      <c r="M19" s="4">
        <v>573155.18999999994</v>
      </c>
      <c r="N19" s="4">
        <v>83680.75</v>
      </c>
      <c r="O19">
        <f t="shared" si="0"/>
        <v>1</v>
      </c>
      <c r="P19">
        <f t="shared" si="1"/>
        <v>0</v>
      </c>
    </row>
    <row r="20" spans="1:16">
      <c r="A20" s="4" t="s">
        <v>23</v>
      </c>
      <c r="B20" s="6">
        <v>45717</v>
      </c>
      <c r="C20" s="4" t="s">
        <v>24</v>
      </c>
      <c r="D20" s="4" t="s">
        <v>16</v>
      </c>
      <c r="E20" s="4">
        <v>78831.12</v>
      </c>
      <c r="F20" s="4">
        <v>5538</v>
      </c>
      <c r="G20" s="4">
        <v>0</v>
      </c>
      <c r="H20" s="4">
        <v>15</v>
      </c>
      <c r="I20" s="4">
        <v>94.1</v>
      </c>
      <c r="J20" s="4">
        <v>0.2</v>
      </c>
      <c r="K20" s="4">
        <v>0</v>
      </c>
      <c r="L20" s="4">
        <v>3.9</v>
      </c>
      <c r="M20" s="4">
        <v>666573.19999999995</v>
      </c>
      <c r="N20" s="4">
        <v>140641.01999999999</v>
      </c>
      <c r="O20">
        <f t="shared" si="0"/>
        <v>1</v>
      </c>
      <c r="P20">
        <f t="shared" si="1"/>
        <v>0</v>
      </c>
    </row>
    <row r="21" spans="1:16">
      <c r="A21" s="4" t="s">
        <v>23</v>
      </c>
      <c r="B21" s="6">
        <v>45748</v>
      </c>
      <c r="C21" s="4" t="s">
        <v>24</v>
      </c>
      <c r="D21" s="4" t="s">
        <v>16</v>
      </c>
      <c r="E21" s="4">
        <v>41441.93</v>
      </c>
      <c r="F21" s="4">
        <v>4865</v>
      </c>
      <c r="G21" s="4">
        <v>0.158</v>
      </c>
      <c r="H21" s="4">
        <v>16</v>
      </c>
      <c r="I21" s="4">
        <v>88.3</v>
      </c>
      <c r="J21" s="4">
        <v>0.5</v>
      </c>
      <c r="K21" s="4">
        <v>0</v>
      </c>
      <c r="L21" s="4">
        <v>4</v>
      </c>
      <c r="M21" s="4">
        <v>591619.94999999995</v>
      </c>
      <c r="N21" s="4">
        <v>99521.35</v>
      </c>
      <c r="O21">
        <f t="shared" si="0"/>
        <v>1</v>
      </c>
      <c r="P21">
        <f t="shared" si="1"/>
        <v>0</v>
      </c>
    </row>
    <row r="22" spans="1:16">
      <c r="A22" s="4" t="s">
        <v>25</v>
      </c>
      <c r="B22" s="6">
        <v>45658</v>
      </c>
      <c r="C22" s="4" t="s">
        <v>20</v>
      </c>
      <c r="D22" s="4" t="s">
        <v>16</v>
      </c>
      <c r="E22" s="4">
        <v>30356.28</v>
      </c>
      <c r="F22" s="4">
        <v>2822</v>
      </c>
      <c r="G22" s="4">
        <v>0.23100000000000001</v>
      </c>
      <c r="H22" s="4">
        <v>9</v>
      </c>
      <c r="I22" s="4">
        <v>84.8</v>
      </c>
      <c r="J22" s="4">
        <v>6.95</v>
      </c>
      <c r="K22" s="4">
        <v>0</v>
      </c>
      <c r="L22" s="4">
        <v>5</v>
      </c>
      <c r="M22" s="4">
        <v>415721.82</v>
      </c>
      <c r="N22" s="4">
        <v>61179.15</v>
      </c>
      <c r="O22">
        <f t="shared" si="0"/>
        <v>1</v>
      </c>
      <c r="P22">
        <f t="shared" si="1"/>
        <v>0</v>
      </c>
    </row>
    <row r="23" spans="1:16">
      <c r="A23" s="4" t="s">
        <v>25</v>
      </c>
      <c r="B23" s="6">
        <v>45689</v>
      </c>
      <c r="C23" s="4" t="s">
        <v>20</v>
      </c>
      <c r="D23" s="4" t="s">
        <v>16</v>
      </c>
      <c r="E23" s="4">
        <v>33518.879999999997</v>
      </c>
      <c r="F23" s="4">
        <v>2121</v>
      </c>
      <c r="G23" s="4">
        <v>0.17599999999999999</v>
      </c>
      <c r="H23" s="4">
        <v>8</v>
      </c>
      <c r="I23" s="4">
        <v>88.5</v>
      </c>
      <c r="J23" s="4">
        <v>0.2</v>
      </c>
      <c r="K23" s="4">
        <v>0</v>
      </c>
      <c r="L23" s="4">
        <v>5</v>
      </c>
      <c r="M23" s="4">
        <v>491905.13</v>
      </c>
      <c r="N23" s="4">
        <v>79212.259999999995</v>
      </c>
      <c r="O23">
        <f t="shared" si="0"/>
        <v>1</v>
      </c>
      <c r="P23">
        <f t="shared" si="1"/>
        <v>0</v>
      </c>
    </row>
    <row r="24" spans="1:16">
      <c r="A24" s="4" t="s">
        <v>25</v>
      </c>
      <c r="B24" s="6">
        <v>45717</v>
      </c>
      <c r="C24" s="4" t="s">
        <v>20</v>
      </c>
      <c r="D24" s="4" t="s">
        <v>16</v>
      </c>
      <c r="E24" s="4">
        <v>42267.37</v>
      </c>
      <c r="F24" s="4">
        <v>3364</v>
      </c>
      <c r="G24" s="4">
        <v>0.16</v>
      </c>
      <c r="H24" s="4">
        <v>13</v>
      </c>
      <c r="I24" s="4">
        <v>82</v>
      </c>
      <c r="J24" s="4">
        <v>1.61</v>
      </c>
      <c r="K24" s="4">
        <v>1</v>
      </c>
      <c r="L24" s="4">
        <v>4.5999999999999996</v>
      </c>
      <c r="M24" s="4">
        <v>555929.4</v>
      </c>
      <c r="N24" s="4">
        <v>115201.76</v>
      </c>
      <c r="O24">
        <f t="shared" si="0"/>
        <v>1</v>
      </c>
      <c r="P24">
        <f t="shared" si="1"/>
        <v>0</v>
      </c>
    </row>
    <row r="25" spans="1:16">
      <c r="A25" s="4" t="s">
        <v>25</v>
      </c>
      <c r="B25" s="6">
        <v>45748</v>
      </c>
      <c r="C25" s="4" t="s">
        <v>20</v>
      </c>
      <c r="D25" s="4" t="s">
        <v>16</v>
      </c>
      <c r="E25" s="4">
        <v>62060.43</v>
      </c>
      <c r="F25" s="4">
        <v>2613</v>
      </c>
      <c r="G25" s="4">
        <v>0.216</v>
      </c>
      <c r="H25" s="4">
        <v>12</v>
      </c>
      <c r="I25" s="4">
        <v>92.1</v>
      </c>
      <c r="J25" s="4">
        <v>1.55</v>
      </c>
      <c r="K25" s="4">
        <v>0</v>
      </c>
      <c r="L25" s="4">
        <v>4.7</v>
      </c>
      <c r="M25" s="4">
        <v>565810.99</v>
      </c>
      <c r="N25" s="4">
        <v>77825.460000000006</v>
      </c>
      <c r="O25">
        <f t="shared" si="0"/>
        <v>1</v>
      </c>
      <c r="P25">
        <f t="shared" si="1"/>
        <v>0</v>
      </c>
    </row>
    <row r="26" spans="1:16">
      <c r="A26" s="4" t="s">
        <v>26</v>
      </c>
      <c r="B26" s="6">
        <v>45658</v>
      </c>
      <c r="C26" s="4" t="s">
        <v>27</v>
      </c>
      <c r="D26" s="4" t="s">
        <v>28</v>
      </c>
      <c r="E26" s="4">
        <v>57696.69</v>
      </c>
      <c r="F26" s="4">
        <v>10218</v>
      </c>
      <c r="G26" s="4">
        <v>0.121</v>
      </c>
      <c r="H26" s="4">
        <v>25</v>
      </c>
      <c r="I26" s="4">
        <v>94.8</v>
      </c>
      <c r="J26" s="4">
        <v>2.99</v>
      </c>
      <c r="K26" s="4">
        <v>0</v>
      </c>
      <c r="L26" s="4">
        <v>3.5</v>
      </c>
      <c r="M26" s="4">
        <v>811771.14</v>
      </c>
      <c r="N26" s="4">
        <v>148756.24</v>
      </c>
      <c r="O26">
        <f t="shared" si="0"/>
        <v>0</v>
      </c>
      <c r="P26">
        <f t="shared" si="1"/>
        <v>0</v>
      </c>
    </row>
    <row r="27" spans="1:16">
      <c r="A27" s="4" t="s">
        <v>26</v>
      </c>
      <c r="B27" s="6">
        <v>45689</v>
      </c>
      <c r="C27" s="4" t="s">
        <v>27</v>
      </c>
      <c r="D27" s="4" t="s">
        <v>28</v>
      </c>
      <c r="E27" s="4">
        <v>172415.52</v>
      </c>
      <c r="F27" s="4">
        <v>8927</v>
      </c>
      <c r="G27" s="4">
        <v>0.14000000000000001</v>
      </c>
      <c r="H27" s="4">
        <v>22</v>
      </c>
      <c r="I27" s="4">
        <v>86.2</v>
      </c>
      <c r="J27" s="4">
        <v>7.04</v>
      </c>
      <c r="K27" s="4">
        <v>0</v>
      </c>
      <c r="L27" s="4">
        <v>3.9</v>
      </c>
      <c r="M27" s="4">
        <v>800451.94</v>
      </c>
      <c r="N27" s="4">
        <v>111572.29</v>
      </c>
      <c r="O27">
        <f t="shared" si="0"/>
        <v>0</v>
      </c>
      <c r="P27">
        <f t="shared" si="1"/>
        <v>0</v>
      </c>
    </row>
    <row r="28" spans="1:16">
      <c r="A28" s="4" t="s">
        <v>26</v>
      </c>
      <c r="B28" s="6">
        <v>45717</v>
      </c>
      <c r="C28" s="4" t="s">
        <v>27</v>
      </c>
      <c r="D28" s="4" t="s">
        <v>28</v>
      </c>
      <c r="E28" s="4">
        <v>55270.52</v>
      </c>
      <c r="F28" s="4">
        <v>9315</v>
      </c>
      <c r="G28" s="4">
        <v>0.16900000000000001</v>
      </c>
      <c r="H28" s="4">
        <v>23</v>
      </c>
      <c r="I28" s="4">
        <v>91.9</v>
      </c>
      <c r="J28" s="4">
        <v>4.9400000000000004</v>
      </c>
      <c r="K28" s="4">
        <v>0</v>
      </c>
      <c r="L28" s="4">
        <v>4</v>
      </c>
      <c r="M28" s="4">
        <v>783672.82</v>
      </c>
      <c r="N28" s="4">
        <v>112577.14</v>
      </c>
      <c r="O28">
        <f t="shared" si="0"/>
        <v>0</v>
      </c>
      <c r="P28">
        <f t="shared" si="1"/>
        <v>0</v>
      </c>
    </row>
    <row r="29" spans="1:16">
      <c r="A29" s="4" t="s">
        <v>26</v>
      </c>
      <c r="B29" s="6">
        <v>45748</v>
      </c>
      <c r="C29" s="4" t="s">
        <v>27</v>
      </c>
      <c r="D29" s="4" t="s">
        <v>28</v>
      </c>
      <c r="E29" s="4">
        <v>52715.1</v>
      </c>
      <c r="F29" s="4">
        <v>7223</v>
      </c>
      <c r="G29" s="4">
        <v>0.122</v>
      </c>
      <c r="H29" s="4">
        <v>16</v>
      </c>
      <c r="I29" s="4">
        <v>84.2</v>
      </c>
      <c r="J29" s="4">
        <v>16.149999999999999</v>
      </c>
      <c r="K29" s="4">
        <v>0</v>
      </c>
      <c r="L29" s="4">
        <v>3.7</v>
      </c>
      <c r="M29" s="4">
        <v>701641.97</v>
      </c>
      <c r="N29" s="4">
        <v>106111.86</v>
      </c>
      <c r="O29">
        <f t="shared" si="0"/>
        <v>0</v>
      </c>
      <c r="P29">
        <f t="shared" si="1"/>
        <v>0</v>
      </c>
    </row>
    <row r="30" spans="1:16">
      <c r="A30" s="4" t="s">
        <v>29</v>
      </c>
      <c r="B30" s="6">
        <v>45658</v>
      </c>
      <c r="C30" s="4" t="s">
        <v>15</v>
      </c>
      <c r="D30" s="4" t="s">
        <v>16</v>
      </c>
      <c r="E30" s="4">
        <v>68600.62</v>
      </c>
      <c r="F30" s="4">
        <v>3988</v>
      </c>
      <c r="G30" s="4">
        <v>0.124</v>
      </c>
      <c r="H30" s="4">
        <v>11</v>
      </c>
      <c r="I30" s="4">
        <v>85</v>
      </c>
      <c r="J30" s="4">
        <v>0.48</v>
      </c>
      <c r="K30" s="4">
        <v>0</v>
      </c>
      <c r="L30" s="4">
        <v>3.6</v>
      </c>
      <c r="M30" s="4">
        <v>511844.41</v>
      </c>
      <c r="N30" s="4">
        <v>72774.44</v>
      </c>
      <c r="O30">
        <f t="shared" si="0"/>
        <v>1</v>
      </c>
      <c r="P30">
        <f t="shared" si="1"/>
        <v>0</v>
      </c>
    </row>
    <row r="31" spans="1:16">
      <c r="A31" s="4" t="s">
        <v>29</v>
      </c>
      <c r="B31" s="6">
        <v>45689</v>
      </c>
      <c r="C31" s="4" t="s">
        <v>15</v>
      </c>
      <c r="D31" s="4" t="s">
        <v>16</v>
      </c>
      <c r="E31" s="4">
        <v>63176.73</v>
      </c>
      <c r="F31" s="4">
        <v>2390</v>
      </c>
      <c r="G31" s="4">
        <v>0.216</v>
      </c>
      <c r="H31" s="4">
        <v>9</v>
      </c>
      <c r="I31" s="4">
        <v>87.5</v>
      </c>
      <c r="J31" s="4">
        <v>0.31</v>
      </c>
      <c r="K31" s="4">
        <v>0</v>
      </c>
      <c r="L31" s="4">
        <v>3.1</v>
      </c>
      <c r="M31" s="4">
        <v>537383.79</v>
      </c>
      <c r="N31" s="4">
        <v>63773.27</v>
      </c>
      <c r="O31">
        <f t="shared" si="0"/>
        <v>1</v>
      </c>
      <c r="P31">
        <f t="shared" si="1"/>
        <v>0</v>
      </c>
    </row>
    <row r="32" spans="1:16">
      <c r="A32" s="4" t="s">
        <v>29</v>
      </c>
      <c r="B32" s="6">
        <v>45717</v>
      </c>
      <c r="C32" s="4" t="s">
        <v>15</v>
      </c>
      <c r="D32" s="4" t="s">
        <v>16</v>
      </c>
      <c r="E32" s="4">
        <v>44970.080000000002</v>
      </c>
      <c r="F32" s="4">
        <v>2471</v>
      </c>
      <c r="G32" s="4">
        <v>0.13600000000000001</v>
      </c>
      <c r="H32" s="4">
        <v>11</v>
      </c>
      <c r="I32" s="4">
        <v>87.6</v>
      </c>
      <c r="J32" s="4">
        <v>3.01</v>
      </c>
      <c r="K32" s="4">
        <v>1</v>
      </c>
      <c r="L32" s="4">
        <v>3.7</v>
      </c>
      <c r="M32" s="4">
        <v>500173.02</v>
      </c>
      <c r="N32" s="4">
        <v>70982.05</v>
      </c>
      <c r="O32">
        <f t="shared" si="0"/>
        <v>1</v>
      </c>
      <c r="P32">
        <f t="shared" si="1"/>
        <v>0</v>
      </c>
    </row>
    <row r="33" spans="1:16">
      <c r="A33" s="4" t="s">
        <v>29</v>
      </c>
      <c r="B33" s="6">
        <v>45748</v>
      </c>
      <c r="C33" s="4" t="s">
        <v>15</v>
      </c>
      <c r="D33" s="4" t="s">
        <v>16</v>
      </c>
      <c r="E33" s="4">
        <v>69816.350000000006</v>
      </c>
      <c r="F33" s="4">
        <v>971</v>
      </c>
      <c r="G33" s="4">
        <v>0.16800000000000001</v>
      </c>
      <c r="H33" s="4">
        <v>5</v>
      </c>
      <c r="I33" s="4">
        <v>89.9</v>
      </c>
      <c r="J33" s="4">
        <v>12.15</v>
      </c>
      <c r="K33" s="4">
        <v>0</v>
      </c>
      <c r="L33" s="4">
        <v>3.6</v>
      </c>
      <c r="M33" s="4">
        <v>427917.38</v>
      </c>
      <c r="N33" s="4">
        <v>81824.31</v>
      </c>
      <c r="O33">
        <f t="shared" si="0"/>
        <v>1</v>
      </c>
      <c r="P33">
        <f t="shared" si="1"/>
        <v>0</v>
      </c>
    </row>
    <row r="34" spans="1:16">
      <c r="A34" s="4" t="s">
        <v>30</v>
      </c>
      <c r="B34" s="6">
        <v>45658</v>
      </c>
      <c r="C34" s="4" t="s">
        <v>20</v>
      </c>
      <c r="D34" s="4" t="s">
        <v>16</v>
      </c>
      <c r="E34" s="4">
        <v>54597.83</v>
      </c>
      <c r="F34" s="4">
        <v>9429</v>
      </c>
      <c r="G34" s="4">
        <v>0.188</v>
      </c>
      <c r="H34" s="4">
        <v>21</v>
      </c>
      <c r="I34" s="4">
        <v>83.3</v>
      </c>
      <c r="J34" s="4">
        <v>11.71</v>
      </c>
      <c r="K34" s="4">
        <v>0</v>
      </c>
      <c r="L34" s="4">
        <v>4.2</v>
      </c>
      <c r="M34" s="4">
        <v>641865.03</v>
      </c>
      <c r="N34" s="4">
        <v>81342.58</v>
      </c>
      <c r="O34">
        <f t="shared" si="0"/>
        <v>1</v>
      </c>
      <c r="P34">
        <f t="shared" si="1"/>
        <v>0</v>
      </c>
    </row>
    <row r="35" spans="1:16">
      <c r="A35" s="4" t="s">
        <v>30</v>
      </c>
      <c r="B35" s="6">
        <v>45689</v>
      </c>
      <c r="C35" s="4" t="s">
        <v>20</v>
      </c>
      <c r="D35" s="4" t="s">
        <v>16</v>
      </c>
      <c r="E35" s="4">
        <v>73771.91</v>
      </c>
      <c r="F35" s="4">
        <v>11695</v>
      </c>
      <c r="G35" s="4">
        <v>7.0000000000000007E-2</v>
      </c>
      <c r="H35" s="4">
        <v>25</v>
      </c>
      <c r="I35" s="4">
        <v>84.7</v>
      </c>
      <c r="J35" s="4">
        <v>0.62</v>
      </c>
      <c r="K35" s="4">
        <v>0</v>
      </c>
      <c r="L35" s="4"/>
      <c r="M35" s="4">
        <v>799477.76000000001</v>
      </c>
      <c r="N35" s="4">
        <v>164974.41</v>
      </c>
      <c r="O35">
        <f t="shared" si="0"/>
        <v>1</v>
      </c>
      <c r="P35">
        <f t="shared" si="1"/>
        <v>0</v>
      </c>
    </row>
    <row r="36" spans="1:16">
      <c r="A36" s="4" t="s">
        <v>30</v>
      </c>
      <c r="B36" s="6">
        <v>45717</v>
      </c>
      <c r="C36" s="4" t="s">
        <v>20</v>
      </c>
      <c r="D36" s="4" t="s">
        <v>16</v>
      </c>
      <c r="E36" s="4">
        <v>74413.88</v>
      </c>
      <c r="F36" s="4">
        <v>9449</v>
      </c>
      <c r="G36" s="4">
        <v>3.9E-2</v>
      </c>
      <c r="H36" s="4">
        <v>23</v>
      </c>
      <c r="I36" s="4">
        <v>92.1</v>
      </c>
      <c r="J36" s="4">
        <v>2.12</v>
      </c>
      <c r="K36" s="4">
        <v>0</v>
      </c>
      <c r="L36" s="4">
        <v>3.5</v>
      </c>
      <c r="M36" s="4">
        <v>798952.17</v>
      </c>
      <c r="N36" s="4">
        <v>161499.04</v>
      </c>
      <c r="O36">
        <f t="shared" si="0"/>
        <v>1</v>
      </c>
      <c r="P36">
        <f t="shared" si="1"/>
        <v>0</v>
      </c>
    </row>
    <row r="37" spans="1:16">
      <c r="A37" s="4" t="s">
        <v>30</v>
      </c>
      <c r="B37" s="6">
        <v>45748</v>
      </c>
      <c r="C37" s="4" t="s">
        <v>20</v>
      </c>
      <c r="D37" s="4" t="s">
        <v>16</v>
      </c>
      <c r="E37" s="4">
        <v>52483.77</v>
      </c>
      <c r="F37" s="4">
        <v>10453</v>
      </c>
      <c r="G37" s="4">
        <v>0.247</v>
      </c>
      <c r="H37" s="4">
        <v>25</v>
      </c>
      <c r="I37" s="4">
        <v>99</v>
      </c>
      <c r="J37" s="4">
        <v>6.31</v>
      </c>
      <c r="K37" s="4">
        <v>0</v>
      </c>
      <c r="L37" s="4">
        <v>3.6</v>
      </c>
      <c r="M37" s="4">
        <v>800979.78</v>
      </c>
      <c r="N37" s="4">
        <v>149242.26999999999</v>
      </c>
      <c r="O37">
        <f t="shared" si="0"/>
        <v>1</v>
      </c>
      <c r="P37">
        <f t="shared" si="1"/>
        <v>0</v>
      </c>
    </row>
    <row r="38" spans="1:16">
      <c r="A38" s="4" t="s">
        <v>31</v>
      </c>
      <c r="B38" s="6">
        <v>45658</v>
      </c>
      <c r="C38" s="4" t="s">
        <v>20</v>
      </c>
      <c r="D38" s="4" t="s">
        <v>28</v>
      </c>
      <c r="E38" s="4">
        <v>75269.87</v>
      </c>
      <c r="F38" s="4">
        <v>8838</v>
      </c>
      <c r="G38" s="4">
        <v>9.1999999999999998E-2</v>
      </c>
      <c r="H38" s="4">
        <v>21</v>
      </c>
      <c r="I38" s="4">
        <v>83.1</v>
      </c>
      <c r="J38" s="4">
        <v>9.56</v>
      </c>
      <c r="K38" s="4">
        <v>1</v>
      </c>
      <c r="L38" s="4">
        <v>4.2</v>
      </c>
      <c r="M38" s="4">
        <v>820593.93</v>
      </c>
      <c r="N38" s="4">
        <v>115860.06</v>
      </c>
      <c r="O38">
        <f t="shared" si="0"/>
        <v>0</v>
      </c>
      <c r="P38">
        <f t="shared" si="1"/>
        <v>0</v>
      </c>
    </row>
    <row r="39" spans="1:16">
      <c r="A39" s="4" t="s">
        <v>31</v>
      </c>
      <c r="B39" s="6">
        <v>45689</v>
      </c>
      <c r="C39" s="4" t="s">
        <v>20</v>
      </c>
      <c r="D39" s="4" t="s">
        <v>28</v>
      </c>
      <c r="E39" s="4">
        <v>61245.41</v>
      </c>
      <c r="F39" s="4">
        <v>8156</v>
      </c>
      <c r="G39" s="4">
        <v>0.156</v>
      </c>
      <c r="H39" s="4">
        <v>19</v>
      </c>
      <c r="I39" s="4">
        <v>92.9</v>
      </c>
      <c r="J39" s="4">
        <v>9.0500000000000007</v>
      </c>
      <c r="K39" s="4">
        <v>0</v>
      </c>
      <c r="L39" s="4">
        <v>3.8</v>
      </c>
      <c r="M39" s="4">
        <v>718330.53</v>
      </c>
      <c r="N39" s="4">
        <v>93247.9</v>
      </c>
      <c r="O39">
        <f t="shared" si="0"/>
        <v>0</v>
      </c>
      <c r="P39">
        <f t="shared" si="1"/>
        <v>0</v>
      </c>
    </row>
    <row r="40" spans="1:16">
      <c r="A40" s="4" t="s">
        <v>31</v>
      </c>
      <c r="B40" s="6">
        <v>45717</v>
      </c>
      <c r="C40" s="4" t="s">
        <v>20</v>
      </c>
      <c r="D40" s="4" t="s">
        <v>28</v>
      </c>
      <c r="E40" s="4">
        <v>93381.26</v>
      </c>
      <c r="F40" s="4">
        <v>7562</v>
      </c>
      <c r="G40" s="4">
        <v>0.19800000000000001</v>
      </c>
      <c r="H40" s="4">
        <v>19</v>
      </c>
      <c r="I40" s="4">
        <v>82.9</v>
      </c>
      <c r="J40" s="4">
        <v>5.05</v>
      </c>
      <c r="K40" s="4">
        <v>0</v>
      </c>
      <c r="L40" s="4">
        <v>4</v>
      </c>
      <c r="M40" s="4">
        <v>736633.4</v>
      </c>
      <c r="N40" s="4">
        <v>115654.66</v>
      </c>
      <c r="O40">
        <f t="shared" si="0"/>
        <v>0</v>
      </c>
      <c r="P40">
        <f t="shared" si="1"/>
        <v>0</v>
      </c>
    </row>
    <row r="41" spans="1:16">
      <c r="A41" s="4" t="s">
        <v>31</v>
      </c>
      <c r="B41" s="6">
        <v>45748</v>
      </c>
      <c r="C41" s="4" t="s">
        <v>20</v>
      </c>
      <c r="D41" s="4" t="s">
        <v>28</v>
      </c>
      <c r="E41" s="4">
        <v>65012.19</v>
      </c>
      <c r="F41" s="4">
        <v>9598</v>
      </c>
      <c r="G41" s="4">
        <v>8.5000000000000006E-2</v>
      </c>
      <c r="H41" s="4">
        <v>24</v>
      </c>
      <c r="I41" s="4">
        <v>98.3</v>
      </c>
      <c r="J41" s="4">
        <v>0.89</v>
      </c>
      <c r="K41" s="4">
        <v>0</v>
      </c>
      <c r="L41" s="4">
        <v>3.8</v>
      </c>
      <c r="M41" s="4">
        <v>828623.85</v>
      </c>
      <c r="N41" s="4">
        <v>167320.51999999999</v>
      </c>
      <c r="O41">
        <f t="shared" si="0"/>
        <v>0</v>
      </c>
      <c r="P41">
        <f t="shared" si="1"/>
        <v>0</v>
      </c>
    </row>
    <row r="42" spans="1:16">
      <c r="A42" s="4" t="s">
        <v>32</v>
      </c>
      <c r="B42" s="6">
        <v>45658</v>
      </c>
      <c r="C42" s="4" t="s">
        <v>15</v>
      </c>
      <c r="D42" s="4" t="s">
        <v>28</v>
      </c>
      <c r="E42" s="4">
        <v>40462.94</v>
      </c>
      <c r="F42" s="4">
        <v>3660</v>
      </c>
      <c r="G42" s="4">
        <v>0.218</v>
      </c>
      <c r="H42" s="4">
        <v>11</v>
      </c>
      <c r="I42" s="4">
        <v>95.2</v>
      </c>
      <c r="J42" s="4">
        <v>5.57</v>
      </c>
      <c r="K42" s="4">
        <v>0</v>
      </c>
      <c r="L42" s="4">
        <v>4.4000000000000004</v>
      </c>
      <c r="M42" s="4">
        <v>592195.85</v>
      </c>
      <c r="N42" s="4">
        <v>92291.56</v>
      </c>
      <c r="O42">
        <f t="shared" si="0"/>
        <v>0</v>
      </c>
      <c r="P42">
        <f t="shared" si="1"/>
        <v>0</v>
      </c>
    </row>
    <row r="43" spans="1:16">
      <c r="A43" s="4" t="s">
        <v>32</v>
      </c>
      <c r="B43" s="6">
        <v>45689</v>
      </c>
      <c r="C43" s="4" t="s">
        <v>15</v>
      </c>
      <c r="D43" s="4" t="s">
        <v>28</v>
      </c>
      <c r="E43" s="4">
        <v>46123.88</v>
      </c>
      <c r="F43" s="4">
        <v>3227</v>
      </c>
      <c r="G43" s="4">
        <v>0.14299999999999999</v>
      </c>
      <c r="H43" s="4">
        <v>10</v>
      </c>
      <c r="I43" s="4">
        <v>75.400000000000006</v>
      </c>
      <c r="J43" s="4">
        <v>1.06</v>
      </c>
      <c r="K43" s="4">
        <v>0</v>
      </c>
      <c r="L43" s="4">
        <v>4.4000000000000004</v>
      </c>
      <c r="M43" s="4">
        <v>532644.46</v>
      </c>
      <c r="N43" s="4">
        <v>60681.32</v>
      </c>
      <c r="O43">
        <f t="shared" si="0"/>
        <v>0</v>
      </c>
      <c r="P43">
        <f t="shared" si="1"/>
        <v>0</v>
      </c>
    </row>
    <row r="44" spans="1:16">
      <c r="A44" s="4" t="s">
        <v>32</v>
      </c>
      <c r="B44" s="6">
        <v>45717</v>
      </c>
      <c r="C44" s="4" t="s">
        <v>15</v>
      </c>
      <c r="D44" s="4" t="s">
        <v>28</v>
      </c>
      <c r="E44" s="4">
        <v>68077.539999999994</v>
      </c>
      <c r="F44" s="4">
        <v>3360</v>
      </c>
      <c r="G44" s="4">
        <v>0.128</v>
      </c>
      <c r="H44" s="4">
        <v>14</v>
      </c>
      <c r="I44" s="4">
        <v>88.2</v>
      </c>
      <c r="J44" s="4">
        <v>1.24</v>
      </c>
      <c r="K44" s="4">
        <v>1</v>
      </c>
      <c r="L44" s="4">
        <v>4</v>
      </c>
      <c r="M44" s="4">
        <v>657429.18000000005</v>
      </c>
      <c r="N44" s="4">
        <v>88919.74</v>
      </c>
      <c r="O44">
        <f t="shared" si="0"/>
        <v>0</v>
      </c>
      <c r="P44">
        <f t="shared" si="1"/>
        <v>0</v>
      </c>
    </row>
    <row r="45" spans="1:16">
      <c r="A45" s="4" t="s">
        <v>32</v>
      </c>
      <c r="B45" s="6">
        <v>45748</v>
      </c>
      <c r="C45" s="4" t="s">
        <v>15</v>
      </c>
      <c r="D45" s="4" t="s">
        <v>28</v>
      </c>
      <c r="E45" s="4">
        <v>64882.14</v>
      </c>
      <c r="F45" s="4">
        <v>3642</v>
      </c>
      <c r="G45" s="4">
        <v>1.9E-2</v>
      </c>
      <c r="H45" s="4">
        <v>13</v>
      </c>
      <c r="I45" s="4">
        <v>87.8</v>
      </c>
      <c r="J45" s="4">
        <v>4.5199999999999996</v>
      </c>
      <c r="K45" s="4">
        <v>0</v>
      </c>
      <c r="L45" s="4">
        <v>4.2</v>
      </c>
      <c r="M45" s="4">
        <v>605178</v>
      </c>
      <c r="N45" s="4">
        <v>106958.74</v>
      </c>
      <c r="O45">
        <f t="shared" si="0"/>
        <v>0</v>
      </c>
      <c r="P45">
        <f t="shared" si="1"/>
        <v>0</v>
      </c>
    </row>
    <row r="46" spans="1:16">
      <c r="A46" s="4" t="s">
        <v>33</v>
      </c>
      <c r="B46" s="6">
        <v>45658</v>
      </c>
      <c r="C46" s="4" t="s">
        <v>27</v>
      </c>
      <c r="D46" s="4" t="s">
        <v>16</v>
      </c>
      <c r="E46" s="4">
        <v>138855.51</v>
      </c>
      <c r="F46" s="4">
        <v>5145</v>
      </c>
      <c r="G46" s="4">
        <v>0.06</v>
      </c>
      <c r="H46" s="4">
        <v>17</v>
      </c>
      <c r="I46" s="4">
        <v>88.2</v>
      </c>
      <c r="J46" s="4">
        <v>9.58</v>
      </c>
      <c r="K46" s="4">
        <v>0</v>
      </c>
      <c r="L46" s="4">
        <v>3.2</v>
      </c>
      <c r="M46" s="4">
        <v>595467.6</v>
      </c>
      <c r="N46" s="4">
        <v>104276.46</v>
      </c>
      <c r="O46">
        <f t="shared" si="0"/>
        <v>1</v>
      </c>
      <c r="P46">
        <f t="shared" si="1"/>
        <v>0</v>
      </c>
    </row>
    <row r="47" spans="1:16">
      <c r="A47" s="4" t="s">
        <v>33</v>
      </c>
      <c r="B47" s="6">
        <v>45689</v>
      </c>
      <c r="C47" s="4" t="s">
        <v>27</v>
      </c>
      <c r="D47" s="4" t="s">
        <v>16</v>
      </c>
      <c r="E47" s="4">
        <v>63630.21</v>
      </c>
      <c r="F47" s="4">
        <v>4460</v>
      </c>
      <c r="G47" s="4">
        <v>0.23499999999999999</v>
      </c>
      <c r="H47" s="4">
        <v>14</v>
      </c>
      <c r="I47" s="4">
        <v>98.6</v>
      </c>
      <c r="J47" s="4">
        <v>5.52</v>
      </c>
      <c r="K47" s="4">
        <v>0</v>
      </c>
      <c r="L47" s="4">
        <v>3.5</v>
      </c>
      <c r="M47" s="4">
        <v>599603.4</v>
      </c>
      <c r="N47" s="4">
        <v>112685.12</v>
      </c>
      <c r="O47">
        <f t="shared" si="0"/>
        <v>1</v>
      </c>
      <c r="P47">
        <f t="shared" si="1"/>
        <v>0</v>
      </c>
    </row>
    <row r="48" spans="1:16">
      <c r="A48" s="4" t="s">
        <v>33</v>
      </c>
      <c r="B48" s="6">
        <v>45717</v>
      </c>
      <c r="C48" s="4" t="s">
        <v>27</v>
      </c>
      <c r="D48" s="4" t="s">
        <v>16</v>
      </c>
      <c r="E48" s="4">
        <v>50043.65</v>
      </c>
      <c r="F48" s="4">
        <v>3804</v>
      </c>
      <c r="G48" s="4">
        <v>0.113</v>
      </c>
      <c r="H48" s="4">
        <v>11</v>
      </c>
      <c r="I48" s="4">
        <v>90.9</v>
      </c>
      <c r="J48" s="4">
        <v>2.7</v>
      </c>
      <c r="K48" s="4">
        <v>1</v>
      </c>
      <c r="L48" s="4">
        <v>3.2</v>
      </c>
      <c r="M48" s="4">
        <v>614800.09</v>
      </c>
      <c r="N48" s="4">
        <v>100044.2</v>
      </c>
      <c r="O48">
        <f t="shared" si="0"/>
        <v>1</v>
      </c>
      <c r="P48">
        <f t="shared" si="1"/>
        <v>0</v>
      </c>
    </row>
    <row r="49" spans="1:16">
      <c r="A49" s="4" t="s">
        <v>33</v>
      </c>
      <c r="B49" s="6">
        <v>45748</v>
      </c>
      <c r="C49" s="4" t="s">
        <v>27</v>
      </c>
      <c r="D49" s="4" t="s">
        <v>16</v>
      </c>
      <c r="E49" s="4">
        <v>42093.84</v>
      </c>
      <c r="F49" s="4">
        <v>4074</v>
      </c>
      <c r="G49" s="4">
        <v>0.155</v>
      </c>
      <c r="H49" s="4">
        <v>15</v>
      </c>
      <c r="I49" s="4">
        <v>88</v>
      </c>
      <c r="J49" s="4">
        <v>9.64</v>
      </c>
      <c r="K49" s="4">
        <v>0</v>
      </c>
      <c r="L49" s="4">
        <v>3.3</v>
      </c>
      <c r="M49" s="4">
        <v>585365.73</v>
      </c>
      <c r="N49" s="4">
        <v>81011.520000000004</v>
      </c>
      <c r="O49">
        <f t="shared" si="0"/>
        <v>1</v>
      </c>
      <c r="P49">
        <f t="shared" si="1"/>
        <v>0</v>
      </c>
    </row>
    <row r="50" spans="1:16">
      <c r="A50" s="4" t="s">
        <v>34</v>
      </c>
      <c r="B50" s="6">
        <v>45658</v>
      </c>
      <c r="C50" s="4" t="s">
        <v>20</v>
      </c>
      <c r="D50" s="4" t="s">
        <v>28</v>
      </c>
      <c r="E50" s="4">
        <v>46624.05</v>
      </c>
      <c r="F50" s="4">
        <v>5104</v>
      </c>
      <c r="G50" s="4">
        <v>0.109</v>
      </c>
      <c r="H50" s="4">
        <v>11</v>
      </c>
      <c r="I50" s="4">
        <v>97.3</v>
      </c>
      <c r="J50" s="4">
        <v>3.49</v>
      </c>
      <c r="K50" s="4">
        <v>1</v>
      </c>
      <c r="L50" s="4">
        <v>4.7</v>
      </c>
      <c r="M50" s="4">
        <v>622811.74</v>
      </c>
      <c r="N50" s="4">
        <v>109978.35</v>
      </c>
      <c r="O50">
        <f t="shared" si="0"/>
        <v>0</v>
      </c>
      <c r="P50">
        <f t="shared" si="1"/>
        <v>0</v>
      </c>
    </row>
    <row r="51" spans="1:16">
      <c r="A51" s="4" t="s">
        <v>34</v>
      </c>
      <c r="B51" s="6">
        <v>45689</v>
      </c>
      <c r="C51" s="4" t="s">
        <v>20</v>
      </c>
      <c r="D51" s="4" t="s">
        <v>28</v>
      </c>
      <c r="E51" s="4">
        <v>49710.29</v>
      </c>
      <c r="F51" s="4">
        <v>5559</v>
      </c>
      <c r="G51" s="4">
        <v>0.218</v>
      </c>
      <c r="H51" s="4">
        <v>14</v>
      </c>
      <c r="I51" s="4">
        <v>71</v>
      </c>
      <c r="J51" s="4">
        <v>9.11</v>
      </c>
      <c r="K51" s="4">
        <v>0</v>
      </c>
      <c r="L51" s="4">
        <v>4.5999999999999996</v>
      </c>
      <c r="M51" s="4">
        <v>603297.56999999995</v>
      </c>
      <c r="N51" s="4">
        <v>60592.26</v>
      </c>
      <c r="O51">
        <f t="shared" si="0"/>
        <v>0</v>
      </c>
      <c r="P51">
        <f t="shared" si="1"/>
        <v>0</v>
      </c>
    </row>
    <row r="52" spans="1:16">
      <c r="A52" s="4" t="s">
        <v>34</v>
      </c>
      <c r="B52" s="6">
        <v>45717</v>
      </c>
      <c r="C52" s="4" t="s">
        <v>20</v>
      </c>
      <c r="D52" s="4" t="s">
        <v>28</v>
      </c>
      <c r="E52" s="4">
        <v>48287.85</v>
      </c>
      <c r="F52" s="4">
        <v>5150</v>
      </c>
      <c r="G52" s="4">
        <v>8.0000000000000002E-3</v>
      </c>
      <c r="H52" s="4">
        <v>12</v>
      </c>
      <c r="I52" s="4">
        <v>80.400000000000006</v>
      </c>
      <c r="J52" s="4">
        <v>7.4</v>
      </c>
      <c r="K52" s="4">
        <v>0</v>
      </c>
      <c r="L52" s="4">
        <v>4.5</v>
      </c>
      <c r="M52" s="4">
        <v>625672.86</v>
      </c>
      <c r="N52" s="4">
        <v>118020.12</v>
      </c>
      <c r="O52">
        <f t="shared" si="0"/>
        <v>0</v>
      </c>
      <c r="P52">
        <f t="shared" si="1"/>
        <v>0</v>
      </c>
    </row>
    <row r="53" spans="1:16">
      <c r="A53" s="4" t="s">
        <v>34</v>
      </c>
      <c r="B53" s="6">
        <v>45748</v>
      </c>
      <c r="C53" s="4" t="s">
        <v>20</v>
      </c>
      <c r="D53" s="4" t="s">
        <v>28</v>
      </c>
      <c r="E53" s="4">
        <v>65312.49</v>
      </c>
      <c r="F53" s="4">
        <v>7189</v>
      </c>
      <c r="G53" s="4">
        <v>0.05</v>
      </c>
      <c r="H53" s="4">
        <v>19</v>
      </c>
      <c r="I53" s="4">
        <v>93.7</v>
      </c>
      <c r="J53" s="4">
        <v>7.16</v>
      </c>
      <c r="K53" s="4">
        <v>0</v>
      </c>
      <c r="L53" s="4">
        <v>4.5999999999999996</v>
      </c>
      <c r="M53" s="4">
        <v>773815.14</v>
      </c>
      <c r="N53" s="4">
        <v>133948.39000000001</v>
      </c>
      <c r="O53">
        <f t="shared" si="0"/>
        <v>0</v>
      </c>
      <c r="P53">
        <f t="shared" si="1"/>
        <v>0</v>
      </c>
    </row>
    <row r="54" spans="1:16">
      <c r="A54" s="4" t="s">
        <v>35</v>
      </c>
      <c r="B54" s="6">
        <v>45658</v>
      </c>
      <c r="C54" s="4" t="s">
        <v>27</v>
      </c>
      <c r="D54" s="4" t="s">
        <v>18</v>
      </c>
      <c r="E54" s="4">
        <v>53015.46</v>
      </c>
      <c r="F54" s="4">
        <v>3279</v>
      </c>
      <c r="G54" s="4">
        <v>8.6999999999999994E-2</v>
      </c>
      <c r="H54" s="4">
        <v>9</v>
      </c>
      <c r="I54" s="4">
        <v>84.3</v>
      </c>
      <c r="J54" s="4">
        <v>22.02</v>
      </c>
      <c r="K54" s="4">
        <v>0</v>
      </c>
      <c r="L54" s="4">
        <v>3.9</v>
      </c>
      <c r="M54" s="4">
        <v>463534.25</v>
      </c>
      <c r="N54" s="4">
        <v>81834.539999999994</v>
      </c>
      <c r="O54">
        <f t="shared" si="0"/>
        <v>0</v>
      </c>
      <c r="P54">
        <f t="shared" si="1"/>
        <v>1</v>
      </c>
    </row>
    <row r="55" spans="1:16">
      <c r="A55" s="4" t="s">
        <v>35</v>
      </c>
      <c r="B55" s="6">
        <v>45689</v>
      </c>
      <c r="C55" s="4" t="s">
        <v>27</v>
      </c>
      <c r="D55" s="4" t="s">
        <v>18</v>
      </c>
      <c r="E55" s="4">
        <v>99874.01</v>
      </c>
      <c r="F55" s="4">
        <v>5887</v>
      </c>
      <c r="G55" s="4">
        <v>0.26200000000000001</v>
      </c>
      <c r="H55" s="4">
        <v>14</v>
      </c>
      <c r="I55" s="4">
        <v>88.7</v>
      </c>
      <c r="J55" s="4">
        <v>6.18</v>
      </c>
      <c r="K55" s="4">
        <v>0</v>
      </c>
      <c r="L55" s="4">
        <v>4.7</v>
      </c>
      <c r="M55" s="4">
        <v>746677.75</v>
      </c>
      <c r="N55" s="4">
        <v>122437.84</v>
      </c>
      <c r="O55">
        <f t="shared" si="0"/>
        <v>0</v>
      </c>
      <c r="P55">
        <f t="shared" si="1"/>
        <v>1</v>
      </c>
    </row>
    <row r="56" spans="1:16">
      <c r="A56" s="4" t="s">
        <v>35</v>
      </c>
      <c r="B56" s="6">
        <v>45717</v>
      </c>
      <c r="C56" s="4" t="s">
        <v>27</v>
      </c>
      <c r="D56" s="4" t="s">
        <v>18</v>
      </c>
      <c r="E56" s="4">
        <v>81195.5</v>
      </c>
      <c r="F56" s="4">
        <v>5516</v>
      </c>
      <c r="G56" s="4">
        <v>0.106</v>
      </c>
      <c r="H56" s="4">
        <v>14</v>
      </c>
      <c r="I56" s="4">
        <v>88</v>
      </c>
      <c r="J56" s="4">
        <v>1.76</v>
      </c>
      <c r="K56" s="4">
        <v>0</v>
      </c>
      <c r="L56" s="4">
        <v>4.3</v>
      </c>
      <c r="M56" s="4">
        <v>720852.5</v>
      </c>
      <c r="N56" s="4">
        <v>98565.62</v>
      </c>
      <c r="O56">
        <f t="shared" si="0"/>
        <v>0</v>
      </c>
      <c r="P56">
        <f t="shared" si="1"/>
        <v>1</v>
      </c>
    </row>
    <row r="57" spans="1:16">
      <c r="A57" s="4" t="s">
        <v>35</v>
      </c>
      <c r="B57" s="6">
        <v>45748</v>
      </c>
      <c r="C57" s="4" t="s">
        <v>27</v>
      </c>
      <c r="D57" s="4" t="s">
        <v>18</v>
      </c>
      <c r="E57" s="4">
        <v>27808.6</v>
      </c>
      <c r="F57" s="4">
        <v>2863</v>
      </c>
      <c r="G57" s="4">
        <v>0.08</v>
      </c>
      <c r="H57" s="4">
        <v>13</v>
      </c>
      <c r="I57" s="4">
        <v>89.3</v>
      </c>
      <c r="J57" s="4">
        <v>0.47</v>
      </c>
      <c r="K57" s="4">
        <v>0</v>
      </c>
      <c r="L57" s="4">
        <v>4.0999999999999996</v>
      </c>
      <c r="M57" s="4">
        <v>487464.91</v>
      </c>
      <c r="N57" s="4">
        <v>64562.26</v>
      </c>
      <c r="O57">
        <f t="shared" si="0"/>
        <v>0</v>
      </c>
      <c r="P57">
        <f t="shared" si="1"/>
        <v>1</v>
      </c>
    </row>
    <row r="58" spans="1:16">
      <c r="A58" s="4" t="s">
        <v>36</v>
      </c>
      <c r="B58" s="6">
        <v>45658</v>
      </c>
      <c r="C58" s="4" t="s">
        <v>15</v>
      </c>
      <c r="D58" s="4" t="s">
        <v>21</v>
      </c>
      <c r="E58" s="4">
        <v>19365.060000000001</v>
      </c>
      <c r="F58" s="4">
        <v>2378</v>
      </c>
      <c r="G58" s="4">
        <v>0</v>
      </c>
      <c r="H58" s="4">
        <v>12</v>
      </c>
      <c r="I58" s="4">
        <v>94.8</v>
      </c>
      <c r="J58" s="4">
        <v>0.2</v>
      </c>
      <c r="K58" s="4">
        <v>0</v>
      </c>
      <c r="L58" s="4">
        <v>3.5</v>
      </c>
      <c r="M58" s="4">
        <v>518049.26</v>
      </c>
      <c r="N58" s="4">
        <v>108592.49</v>
      </c>
      <c r="O58">
        <f t="shared" si="0"/>
        <v>0</v>
      </c>
      <c r="P58">
        <f t="shared" si="1"/>
        <v>0</v>
      </c>
    </row>
    <row r="59" spans="1:16">
      <c r="A59" s="4" t="s">
        <v>36</v>
      </c>
      <c r="B59" s="6">
        <v>45689</v>
      </c>
      <c r="C59" s="4" t="s">
        <v>15</v>
      </c>
      <c r="D59" s="4" t="s">
        <v>21</v>
      </c>
      <c r="E59" s="4">
        <v>59405.68</v>
      </c>
      <c r="F59" s="4">
        <v>2515</v>
      </c>
      <c r="G59" s="4">
        <v>3.9E-2</v>
      </c>
      <c r="H59" s="4">
        <v>12</v>
      </c>
      <c r="I59" s="4">
        <v>76</v>
      </c>
      <c r="J59" s="4">
        <v>5.1100000000000003</v>
      </c>
      <c r="K59" s="4">
        <v>0</v>
      </c>
      <c r="L59" s="4">
        <v>3.7</v>
      </c>
      <c r="M59" s="4">
        <v>500298.48</v>
      </c>
      <c r="N59" s="4">
        <v>73461.320000000007</v>
      </c>
      <c r="O59">
        <f t="shared" si="0"/>
        <v>0</v>
      </c>
      <c r="P59">
        <f t="shared" si="1"/>
        <v>0</v>
      </c>
    </row>
    <row r="60" spans="1:16">
      <c r="A60" s="4" t="s">
        <v>36</v>
      </c>
      <c r="B60" s="6">
        <v>45717</v>
      </c>
      <c r="C60" s="4" t="s">
        <v>15</v>
      </c>
      <c r="D60" s="4" t="s">
        <v>21</v>
      </c>
      <c r="E60" s="4">
        <v>118910.48</v>
      </c>
      <c r="F60" s="4">
        <v>4022</v>
      </c>
      <c r="G60" s="4">
        <v>0.13700000000000001</v>
      </c>
      <c r="H60" s="4">
        <v>11</v>
      </c>
      <c r="I60" s="4">
        <v>87.1</v>
      </c>
      <c r="J60" s="4">
        <v>0.2</v>
      </c>
      <c r="K60" s="4">
        <v>0</v>
      </c>
      <c r="L60" s="4">
        <v>3.1</v>
      </c>
      <c r="M60" s="4">
        <v>617291.15</v>
      </c>
      <c r="N60" s="4">
        <v>117782</v>
      </c>
      <c r="O60">
        <f t="shared" si="0"/>
        <v>0</v>
      </c>
      <c r="P60">
        <f t="shared" si="1"/>
        <v>0</v>
      </c>
    </row>
    <row r="61" spans="1:16">
      <c r="A61" s="4" t="s">
        <v>36</v>
      </c>
      <c r="B61" s="6">
        <v>45748</v>
      </c>
      <c r="C61" s="4" t="s">
        <v>15</v>
      </c>
      <c r="D61" s="4" t="s">
        <v>21</v>
      </c>
      <c r="E61" s="4">
        <v>52952.12</v>
      </c>
      <c r="F61" s="4">
        <v>4377</v>
      </c>
      <c r="G61" s="4">
        <v>9.1999999999999998E-2</v>
      </c>
      <c r="H61" s="4">
        <v>14</v>
      </c>
      <c r="I61" s="4">
        <v>88.6</v>
      </c>
      <c r="J61" s="4">
        <v>13.59</v>
      </c>
      <c r="K61" s="4">
        <v>0</v>
      </c>
      <c r="L61" s="4">
        <v>3.1</v>
      </c>
      <c r="M61" s="4">
        <v>553756.43000000005</v>
      </c>
      <c r="N61" s="4">
        <v>86166.77</v>
      </c>
      <c r="O61">
        <f t="shared" si="0"/>
        <v>0</v>
      </c>
      <c r="P61">
        <f t="shared" si="1"/>
        <v>0</v>
      </c>
    </row>
    <row r="62" spans="1:16">
      <c r="A62" s="4" t="s">
        <v>37</v>
      </c>
      <c r="B62" s="6">
        <v>45658</v>
      </c>
      <c r="C62" s="4" t="s">
        <v>24</v>
      </c>
      <c r="D62" s="4" t="s">
        <v>18</v>
      </c>
      <c r="E62" s="4">
        <v>74907.98</v>
      </c>
      <c r="F62" s="4">
        <v>5306</v>
      </c>
      <c r="G62" s="4">
        <v>6.2E-2</v>
      </c>
      <c r="H62" s="4">
        <v>16</v>
      </c>
      <c r="I62" s="4">
        <v>95.6</v>
      </c>
      <c r="J62" s="4">
        <v>1.02</v>
      </c>
      <c r="K62" s="4">
        <v>0</v>
      </c>
      <c r="L62" s="4">
        <v>3.7</v>
      </c>
      <c r="M62" s="4">
        <v>749559.71</v>
      </c>
      <c r="N62" s="4">
        <v>144522.53</v>
      </c>
      <c r="O62">
        <f t="shared" si="0"/>
        <v>0</v>
      </c>
      <c r="P62">
        <f t="shared" si="1"/>
        <v>1</v>
      </c>
    </row>
    <row r="63" spans="1:16">
      <c r="A63" s="4" t="s">
        <v>37</v>
      </c>
      <c r="B63" s="6">
        <v>45689</v>
      </c>
      <c r="C63" s="4" t="s">
        <v>24</v>
      </c>
      <c r="D63" s="4" t="s">
        <v>18</v>
      </c>
      <c r="E63" s="4">
        <v>37284.660000000003</v>
      </c>
      <c r="F63" s="4">
        <v>3928</v>
      </c>
      <c r="G63" s="4">
        <v>7.3999999999999996E-2</v>
      </c>
      <c r="H63" s="4">
        <v>12</v>
      </c>
      <c r="I63" s="4">
        <v>86.5</v>
      </c>
      <c r="J63" s="4">
        <v>1.64</v>
      </c>
      <c r="K63" s="4">
        <v>0</v>
      </c>
      <c r="L63" s="4">
        <v>3.8</v>
      </c>
      <c r="M63" s="4">
        <v>615966.48</v>
      </c>
      <c r="N63" s="4">
        <v>91509.38</v>
      </c>
      <c r="O63">
        <f t="shared" si="0"/>
        <v>0</v>
      </c>
      <c r="P63">
        <f t="shared" si="1"/>
        <v>1</v>
      </c>
    </row>
    <row r="64" spans="1:16">
      <c r="A64" s="4" t="s">
        <v>37</v>
      </c>
      <c r="B64" s="6">
        <v>45717</v>
      </c>
      <c r="C64" s="4" t="s">
        <v>24</v>
      </c>
      <c r="D64" s="4" t="s">
        <v>18</v>
      </c>
      <c r="E64" s="4">
        <v>50343.19</v>
      </c>
      <c r="F64" s="4">
        <v>3845</v>
      </c>
      <c r="G64" s="4">
        <v>0.113</v>
      </c>
      <c r="H64" s="4">
        <v>9</v>
      </c>
      <c r="I64" s="4">
        <v>88.7</v>
      </c>
      <c r="J64" s="4">
        <v>5.15</v>
      </c>
      <c r="K64" s="4">
        <v>0</v>
      </c>
      <c r="L64" s="4">
        <v>3.3</v>
      </c>
      <c r="M64" s="4">
        <v>572011.19999999995</v>
      </c>
      <c r="N64" s="4">
        <v>101409.68</v>
      </c>
      <c r="O64">
        <f t="shared" si="0"/>
        <v>0</v>
      </c>
      <c r="P64">
        <f t="shared" si="1"/>
        <v>1</v>
      </c>
    </row>
    <row r="65" spans="1:16">
      <c r="A65" s="4" t="s">
        <v>37</v>
      </c>
      <c r="B65" s="6">
        <v>45748</v>
      </c>
      <c r="C65" s="4" t="s">
        <v>24</v>
      </c>
      <c r="D65" s="4" t="s">
        <v>18</v>
      </c>
      <c r="E65" s="4">
        <v>74954.47</v>
      </c>
      <c r="F65" s="4">
        <v>6620</v>
      </c>
      <c r="G65" s="4">
        <v>5.3999999999999999E-2</v>
      </c>
      <c r="H65" s="4">
        <v>17</v>
      </c>
      <c r="I65" s="4">
        <v>91.1</v>
      </c>
      <c r="J65" s="4">
        <v>1.1100000000000001</v>
      </c>
      <c r="K65" s="4">
        <v>0</v>
      </c>
      <c r="L65" s="4">
        <v>3.5</v>
      </c>
      <c r="M65" s="4">
        <v>761860.19</v>
      </c>
      <c r="N65" s="4">
        <v>133279.38</v>
      </c>
      <c r="O65">
        <f t="shared" si="0"/>
        <v>0</v>
      </c>
      <c r="P65">
        <f t="shared" si="1"/>
        <v>1</v>
      </c>
    </row>
    <row r="66" spans="1:16">
      <c r="A66" s="4" t="s">
        <v>38</v>
      </c>
      <c r="B66" s="6">
        <v>45658</v>
      </c>
      <c r="C66" s="4" t="s">
        <v>27</v>
      </c>
      <c r="D66" s="4" t="s">
        <v>18</v>
      </c>
      <c r="E66" s="4">
        <v>70040.31</v>
      </c>
      <c r="F66" s="4">
        <v>9175</v>
      </c>
      <c r="G66" s="4">
        <v>0.107</v>
      </c>
      <c r="H66" s="4">
        <v>23</v>
      </c>
      <c r="I66" s="4">
        <v>95.1</v>
      </c>
      <c r="J66" s="4">
        <v>6.08</v>
      </c>
      <c r="K66" s="4">
        <v>1</v>
      </c>
      <c r="L66" s="4">
        <v>3.4</v>
      </c>
      <c r="M66" s="4">
        <v>784502.68</v>
      </c>
      <c r="N66" s="4">
        <v>129519.72</v>
      </c>
      <c r="O66">
        <f t="shared" si="0"/>
        <v>0</v>
      </c>
      <c r="P66">
        <f t="shared" si="1"/>
        <v>1</v>
      </c>
    </row>
    <row r="67" spans="1:16">
      <c r="A67" s="4" t="s">
        <v>38</v>
      </c>
      <c r="B67" s="6">
        <v>45689</v>
      </c>
      <c r="C67" s="4" t="s">
        <v>27</v>
      </c>
      <c r="D67" s="4" t="s">
        <v>18</v>
      </c>
      <c r="E67" s="4">
        <v>51148.69</v>
      </c>
      <c r="F67" s="4">
        <v>7940</v>
      </c>
      <c r="G67" s="4">
        <v>0.156</v>
      </c>
      <c r="H67" s="4">
        <v>18</v>
      </c>
      <c r="I67" s="4">
        <v>93.3</v>
      </c>
      <c r="J67" s="4">
        <v>10.91</v>
      </c>
      <c r="K67" s="4">
        <v>0</v>
      </c>
      <c r="L67" s="4">
        <v>3.6</v>
      </c>
      <c r="M67" s="4">
        <v>717141.55</v>
      </c>
      <c r="N67" s="4">
        <v>134013.60999999999</v>
      </c>
      <c r="O67">
        <f t="shared" ref="O67:O130" si="2">IF(D67="Residential",1,0)</f>
        <v>0</v>
      </c>
      <c r="P67">
        <f t="shared" ref="P67:P130" si="3">IF(D67="High Street",1,0)</f>
        <v>1</v>
      </c>
    </row>
    <row r="68" spans="1:16">
      <c r="A68" s="4" t="s">
        <v>38</v>
      </c>
      <c r="B68" s="6">
        <v>45717</v>
      </c>
      <c r="C68" s="4" t="s">
        <v>27</v>
      </c>
      <c r="D68" s="4" t="s">
        <v>18</v>
      </c>
      <c r="E68" s="4">
        <v>79346.100000000006</v>
      </c>
      <c r="F68" s="4">
        <v>9628</v>
      </c>
      <c r="G68" s="4">
        <v>0.10199999999999999</v>
      </c>
      <c r="H68" s="4">
        <v>20</v>
      </c>
      <c r="I68" s="4">
        <v>99</v>
      </c>
      <c r="J68" s="4">
        <v>19.010000000000002</v>
      </c>
      <c r="K68" s="4">
        <v>1</v>
      </c>
      <c r="L68" s="4">
        <v>3.2</v>
      </c>
      <c r="M68" s="4">
        <v>685379.08</v>
      </c>
      <c r="N68" s="4">
        <v>106898.82</v>
      </c>
      <c r="O68">
        <f t="shared" si="2"/>
        <v>0</v>
      </c>
      <c r="P68">
        <f t="shared" si="3"/>
        <v>1</v>
      </c>
    </row>
    <row r="69" spans="1:16">
      <c r="A69" s="4" t="s">
        <v>38</v>
      </c>
      <c r="B69" s="6">
        <v>45748</v>
      </c>
      <c r="C69" s="4" t="s">
        <v>27</v>
      </c>
      <c r="D69" s="4" t="s">
        <v>18</v>
      </c>
      <c r="E69" s="4">
        <v>42018.400000000001</v>
      </c>
      <c r="F69" s="4">
        <v>8296</v>
      </c>
      <c r="G69" s="4">
        <v>0.115</v>
      </c>
      <c r="H69" s="4">
        <v>17</v>
      </c>
      <c r="I69" s="4">
        <v>91.8</v>
      </c>
      <c r="J69" s="4">
        <v>0.77</v>
      </c>
      <c r="K69" s="4">
        <v>0</v>
      </c>
      <c r="L69" s="4">
        <v>3.4</v>
      </c>
      <c r="M69" s="4">
        <v>740496.65</v>
      </c>
      <c r="N69" s="4">
        <v>128020.9</v>
      </c>
      <c r="O69">
        <f t="shared" si="2"/>
        <v>0</v>
      </c>
      <c r="P69">
        <f t="shared" si="3"/>
        <v>1</v>
      </c>
    </row>
    <row r="70" spans="1:16">
      <c r="A70" s="4" t="s">
        <v>39</v>
      </c>
      <c r="B70" s="6">
        <v>45658</v>
      </c>
      <c r="C70" s="4" t="s">
        <v>15</v>
      </c>
      <c r="D70" s="4" t="s">
        <v>18</v>
      </c>
      <c r="E70" s="4">
        <v>70937.240000000005</v>
      </c>
      <c r="F70" s="4">
        <v>3595</v>
      </c>
      <c r="G70" s="4">
        <v>0.14099999999999999</v>
      </c>
      <c r="H70" s="4">
        <v>11</v>
      </c>
      <c r="I70" s="4">
        <v>88.9</v>
      </c>
      <c r="J70" s="4">
        <v>2.83</v>
      </c>
      <c r="K70" s="4">
        <v>1</v>
      </c>
      <c r="L70" s="4">
        <v>3.3</v>
      </c>
      <c r="M70" s="4">
        <v>661927.14</v>
      </c>
      <c r="N70" s="4">
        <v>79218.570000000007</v>
      </c>
      <c r="O70">
        <f t="shared" si="2"/>
        <v>0</v>
      </c>
      <c r="P70">
        <f t="shared" si="3"/>
        <v>1</v>
      </c>
    </row>
    <row r="71" spans="1:16">
      <c r="A71" s="4" t="s">
        <v>39</v>
      </c>
      <c r="B71" s="6">
        <v>45689</v>
      </c>
      <c r="C71" s="4" t="s">
        <v>15</v>
      </c>
      <c r="D71" s="4" t="s">
        <v>18</v>
      </c>
      <c r="E71" s="4">
        <v>36813.449999999997</v>
      </c>
      <c r="F71" s="4">
        <v>2834</v>
      </c>
      <c r="G71" s="4">
        <v>0.191</v>
      </c>
      <c r="H71" s="4">
        <v>11</v>
      </c>
      <c r="I71" s="4">
        <v>81.8</v>
      </c>
      <c r="J71" s="4">
        <v>2.33</v>
      </c>
      <c r="K71" s="4">
        <v>0</v>
      </c>
      <c r="L71" s="4">
        <v>3.3</v>
      </c>
      <c r="M71" s="4">
        <v>479050.5</v>
      </c>
      <c r="N71" s="4">
        <v>53651.11</v>
      </c>
      <c r="O71">
        <f t="shared" si="2"/>
        <v>0</v>
      </c>
      <c r="P71">
        <f t="shared" si="3"/>
        <v>1</v>
      </c>
    </row>
    <row r="72" spans="1:16">
      <c r="A72" s="4" t="s">
        <v>39</v>
      </c>
      <c r="B72" s="6">
        <v>45717</v>
      </c>
      <c r="C72" s="4" t="s">
        <v>15</v>
      </c>
      <c r="D72" s="4" t="s">
        <v>18</v>
      </c>
      <c r="E72" s="4">
        <v>60571.82</v>
      </c>
      <c r="F72" s="4">
        <v>3193</v>
      </c>
      <c r="G72" s="4">
        <v>0.19700000000000001</v>
      </c>
      <c r="H72" s="4">
        <v>7</v>
      </c>
      <c r="I72" s="4">
        <v>99</v>
      </c>
      <c r="J72" s="4">
        <v>1.43</v>
      </c>
      <c r="K72" s="4">
        <v>0</v>
      </c>
      <c r="L72" s="4">
        <v>3.2</v>
      </c>
      <c r="M72" s="4">
        <v>605023.87</v>
      </c>
      <c r="N72" s="4">
        <v>98545.81</v>
      </c>
      <c r="O72">
        <f t="shared" si="2"/>
        <v>0</v>
      </c>
      <c r="P72">
        <f t="shared" si="3"/>
        <v>1</v>
      </c>
    </row>
    <row r="73" spans="1:16">
      <c r="A73" s="4" t="s">
        <v>39</v>
      </c>
      <c r="B73" s="6">
        <v>45748</v>
      </c>
      <c r="C73" s="4" t="s">
        <v>15</v>
      </c>
      <c r="D73" s="4" t="s">
        <v>18</v>
      </c>
      <c r="E73" s="4">
        <v>55081.16</v>
      </c>
      <c r="F73" s="4">
        <v>5485</v>
      </c>
      <c r="G73" s="4">
        <v>3.5999999999999997E-2</v>
      </c>
      <c r="H73" s="4">
        <v>12</v>
      </c>
      <c r="I73" s="4">
        <v>88</v>
      </c>
      <c r="J73" s="4"/>
      <c r="K73" s="4">
        <v>0</v>
      </c>
      <c r="L73" s="4">
        <v>3.5</v>
      </c>
      <c r="M73" s="4">
        <v>674774.09</v>
      </c>
      <c r="N73" s="4">
        <v>141917.59</v>
      </c>
      <c r="O73">
        <f t="shared" si="2"/>
        <v>0</v>
      </c>
      <c r="P73">
        <f t="shared" si="3"/>
        <v>1</v>
      </c>
    </row>
    <row r="74" spans="1:16">
      <c r="A74" s="4" t="s">
        <v>40</v>
      </c>
      <c r="B74" s="6">
        <v>45658</v>
      </c>
      <c r="C74" s="4" t="s">
        <v>15</v>
      </c>
      <c r="D74" s="4" t="s">
        <v>16</v>
      </c>
      <c r="E74" s="4">
        <v>46201.46</v>
      </c>
      <c r="F74" s="4">
        <v>5918</v>
      </c>
      <c r="G74" s="4">
        <v>0.27700000000000002</v>
      </c>
      <c r="H74" s="4">
        <v>13</v>
      </c>
      <c r="I74" s="4">
        <v>78.8</v>
      </c>
      <c r="J74" s="4">
        <v>4.91</v>
      </c>
      <c r="K74" s="4">
        <v>0</v>
      </c>
      <c r="L74" s="4">
        <v>4.5</v>
      </c>
      <c r="M74" s="4">
        <v>616069.41</v>
      </c>
      <c r="N74" s="4">
        <v>54453.99</v>
      </c>
      <c r="O74">
        <f t="shared" si="2"/>
        <v>1</v>
      </c>
      <c r="P74">
        <f t="shared" si="3"/>
        <v>0</v>
      </c>
    </row>
    <row r="75" spans="1:16">
      <c r="A75" s="4" t="s">
        <v>40</v>
      </c>
      <c r="B75" s="6">
        <v>45689</v>
      </c>
      <c r="C75" s="4" t="s">
        <v>15</v>
      </c>
      <c r="D75" s="4" t="s">
        <v>16</v>
      </c>
      <c r="E75" s="4">
        <v>53762.92</v>
      </c>
      <c r="F75" s="4">
        <v>6821</v>
      </c>
      <c r="G75" s="4">
        <v>6.6000000000000003E-2</v>
      </c>
      <c r="H75" s="4">
        <v>19</v>
      </c>
      <c r="I75" s="4">
        <v>94.6</v>
      </c>
      <c r="J75" s="4">
        <v>7.03</v>
      </c>
      <c r="K75" s="4">
        <v>0</v>
      </c>
      <c r="L75" s="4">
        <v>4.4000000000000004</v>
      </c>
      <c r="M75" s="4">
        <v>630829.93999999994</v>
      </c>
      <c r="N75" s="4">
        <v>117090.02</v>
      </c>
      <c r="O75">
        <f t="shared" si="2"/>
        <v>1</v>
      </c>
      <c r="P75">
        <f t="shared" si="3"/>
        <v>0</v>
      </c>
    </row>
    <row r="76" spans="1:16">
      <c r="A76" s="4" t="s">
        <v>40</v>
      </c>
      <c r="B76" s="6">
        <v>45717</v>
      </c>
      <c r="C76" s="4" t="s">
        <v>15</v>
      </c>
      <c r="D76" s="4" t="s">
        <v>16</v>
      </c>
      <c r="E76" s="4">
        <v>70144.78</v>
      </c>
      <c r="F76" s="4">
        <v>6806</v>
      </c>
      <c r="G76" s="4">
        <v>0.17799999999999999</v>
      </c>
      <c r="H76" s="4">
        <v>20</v>
      </c>
      <c r="I76" s="4">
        <v>93.1</v>
      </c>
      <c r="J76" s="4">
        <v>0.28000000000000003</v>
      </c>
      <c r="K76" s="4">
        <v>1</v>
      </c>
      <c r="L76" s="4">
        <v>4.3</v>
      </c>
      <c r="M76" s="4">
        <v>788087.68</v>
      </c>
      <c r="N76" s="4">
        <v>116803.42</v>
      </c>
      <c r="O76">
        <f t="shared" si="2"/>
        <v>1</v>
      </c>
      <c r="P76">
        <f t="shared" si="3"/>
        <v>0</v>
      </c>
    </row>
    <row r="77" spans="1:16">
      <c r="A77" s="4" t="s">
        <v>40</v>
      </c>
      <c r="B77" s="6">
        <v>45748</v>
      </c>
      <c r="C77" s="4" t="s">
        <v>15</v>
      </c>
      <c r="D77" s="4" t="s">
        <v>16</v>
      </c>
      <c r="E77" s="4">
        <v>58749.63</v>
      </c>
      <c r="F77" s="4">
        <v>8252</v>
      </c>
      <c r="G77" s="4">
        <v>0.20300000000000001</v>
      </c>
      <c r="H77" s="4">
        <v>20</v>
      </c>
      <c r="I77" s="4">
        <v>85.2</v>
      </c>
      <c r="J77" s="4">
        <v>3.61</v>
      </c>
      <c r="K77" s="4">
        <v>0</v>
      </c>
      <c r="L77" s="4">
        <v>4.5</v>
      </c>
      <c r="M77" s="4">
        <v>680840.36</v>
      </c>
      <c r="N77" s="4">
        <v>68007.679999999993</v>
      </c>
      <c r="O77">
        <f t="shared" si="2"/>
        <v>1</v>
      </c>
      <c r="P77">
        <f t="shared" si="3"/>
        <v>0</v>
      </c>
    </row>
    <row r="78" spans="1:16">
      <c r="A78" s="4" t="s">
        <v>41</v>
      </c>
      <c r="B78" s="6">
        <v>45658</v>
      </c>
      <c r="C78" s="4" t="s">
        <v>24</v>
      </c>
      <c r="D78" s="4" t="s">
        <v>18</v>
      </c>
      <c r="E78" s="4">
        <v>56973.18</v>
      </c>
      <c r="F78" s="4">
        <v>6662</v>
      </c>
      <c r="G78" s="4">
        <v>0.1</v>
      </c>
      <c r="H78" s="4">
        <v>15</v>
      </c>
      <c r="I78" s="4">
        <v>77.7</v>
      </c>
      <c r="J78" s="4">
        <v>7.52</v>
      </c>
      <c r="K78" s="4">
        <v>1</v>
      </c>
      <c r="L78" s="4">
        <v>3.2</v>
      </c>
      <c r="M78" s="4">
        <v>643657.47</v>
      </c>
      <c r="N78" s="4">
        <v>87022.45</v>
      </c>
      <c r="O78">
        <f t="shared" si="2"/>
        <v>0</v>
      </c>
      <c r="P78">
        <f t="shared" si="3"/>
        <v>1</v>
      </c>
    </row>
    <row r="79" spans="1:16">
      <c r="A79" s="4" t="s">
        <v>41</v>
      </c>
      <c r="B79" s="6">
        <v>45689</v>
      </c>
      <c r="C79" s="4" t="s">
        <v>24</v>
      </c>
      <c r="D79" s="4" t="s">
        <v>18</v>
      </c>
      <c r="E79" s="4">
        <v>54872.82</v>
      </c>
      <c r="F79" s="4">
        <v>5962</v>
      </c>
      <c r="G79" s="4">
        <v>6.4000000000000001E-2</v>
      </c>
      <c r="H79" s="4">
        <v>12</v>
      </c>
      <c r="I79" s="4">
        <v>85.4</v>
      </c>
      <c r="J79" s="4">
        <v>2.58</v>
      </c>
      <c r="K79" s="4">
        <v>0</v>
      </c>
      <c r="L79" s="4">
        <v>2.9</v>
      </c>
      <c r="M79" s="4">
        <v>691112.6</v>
      </c>
      <c r="N79" s="4">
        <v>109212.83</v>
      </c>
      <c r="O79">
        <f t="shared" si="2"/>
        <v>0</v>
      </c>
      <c r="P79">
        <f t="shared" si="3"/>
        <v>1</v>
      </c>
    </row>
    <row r="80" spans="1:16">
      <c r="A80" s="4" t="s">
        <v>41</v>
      </c>
      <c r="B80" s="6">
        <v>45717</v>
      </c>
      <c r="C80" s="4" t="s">
        <v>24</v>
      </c>
      <c r="D80" s="4" t="s">
        <v>18</v>
      </c>
      <c r="E80" s="4">
        <v>80562.81</v>
      </c>
      <c r="F80" s="4">
        <v>7470</v>
      </c>
      <c r="G80" s="4">
        <v>0.17199999999999999</v>
      </c>
      <c r="H80" s="4">
        <v>16</v>
      </c>
      <c r="I80" s="4">
        <v>83.5</v>
      </c>
      <c r="J80" s="4">
        <v>2.29</v>
      </c>
      <c r="K80" s="4">
        <v>0</v>
      </c>
      <c r="L80" s="4">
        <v>3.3</v>
      </c>
      <c r="M80" s="4">
        <v>776922.17</v>
      </c>
      <c r="N80" s="4">
        <v>150701.93</v>
      </c>
      <c r="O80">
        <f t="shared" si="2"/>
        <v>0</v>
      </c>
      <c r="P80">
        <f t="shared" si="3"/>
        <v>1</v>
      </c>
    </row>
    <row r="81" spans="1:16">
      <c r="A81" s="4" t="s">
        <v>41</v>
      </c>
      <c r="B81" s="6">
        <v>45748</v>
      </c>
      <c r="C81" s="4" t="s">
        <v>24</v>
      </c>
      <c r="D81" s="4" t="s">
        <v>18</v>
      </c>
      <c r="E81" s="4">
        <v>77999.899999999994</v>
      </c>
      <c r="F81" s="4">
        <v>5974</v>
      </c>
      <c r="G81" s="4">
        <v>0.252</v>
      </c>
      <c r="H81" s="4">
        <v>14</v>
      </c>
      <c r="I81" s="4">
        <v>81.3</v>
      </c>
      <c r="J81" s="4">
        <v>2.39</v>
      </c>
      <c r="K81" s="4">
        <v>0</v>
      </c>
      <c r="L81" s="4">
        <v>3.2</v>
      </c>
      <c r="M81" s="4">
        <v>636561.34</v>
      </c>
      <c r="N81" s="4">
        <v>93861.06</v>
      </c>
      <c r="O81">
        <f t="shared" si="2"/>
        <v>0</v>
      </c>
      <c r="P81">
        <f t="shared" si="3"/>
        <v>1</v>
      </c>
    </row>
    <row r="82" spans="1:16">
      <c r="A82" s="4" t="s">
        <v>42</v>
      </c>
      <c r="B82" s="6">
        <v>45658</v>
      </c>
      <c r="C82" s="4" t="s">
        <v>27</v>
      </c>
      <c r="D82" s="4" t="s">
        <v>28</v>
      </c>
      <c r="E82" s="4">
        <v>60881.01</v>
      </c>
      <c r="F82" s="4">
        <v>5410</v>
      </c>
      <c r="G82" s="4">
        <v>0.17899999999999999</v>
      </c>
      <c r="H82" s="4">
        <v>15</v>
      </c>
      <c r="I82" s="4">
        <v>83.9</v>
      </c>
      <c r="J82" s="4">
        <v>5.24</v>
      </c>
      <c r="K82" s="4">
        <v>0</v>
      </c>
      <c r="L82" s="4">
        <v>4.5999999999999996</v>
      </c>
      <c r="M82" s="4">
        <v>621369.57999999996</v>
      </c>
      <c r="N82" s="4">
        <v>85493.64</v>
      </c>
      <c r="O82">
        <f t="shared" si="2"/>
        <v>0</v>
      </c>
      <c r="P82">
        <f t="shared" si="3"/>
        <v>0</v>
      </c>
    </row>
    <row r="83" spans="1:16">
      <c r="A83" s="4" t="s">
        <v>42</v>
      </c>
      <c r="B83" s="6">
        <v>45689</v>
      </c>
      <c r="C83" s="4" t="s">
        <v>27</v>
      </c>
      <c r="D83" s="4" t="s">
        <v>28</v>
      </c>
      <c r="E83" s="4">
        <v>60628.38</v>
      </c>
      <c r="F83" s="4">
        <v>4451</v>
      </c>
      <c r="G83" s="4">
        <v>9.5000000000000001E-2</v>
      </c>
      <c r="H83" s="4">
        <v>10</v>
      </c>
      <c r="I83" s="4">
        <v>89.6</v>
      </c>
      <c r="J83" s="4">
        <v>3.17</v>
      </c>
      <c r="K83" s="4">
        <v>0</v>
      </c>
      <c r="L83" s="4">
        <v>4.5999999999999996</v>
      </c>
      <c r="M83" s="4">
        <v>682208.01</v>
      </c>
      <c r="N83" s="4">
        <v>110318.84</v>
      </c>
      <c r="O83">
        <f t="shared" si="2"/>
        <v>0</v>
      </c>
      <c r="P83">
        <f t="shared" si="3"/>
        <v>0</v>
      </c>
    </row>
    <row r="84" spans="1:16">
      <c r="A84" s="4" t="s">
        <v>42</v>
      </c>
      <c r="B84" s="6">
        <v>45717</v>
      </c>
      <c r="C84" s="4" t="s">
        <v>27</v>
      </c>
      <c r="D84" s="4" t="s">
        <v>28</v>
      </c>
      <c r="E84" s="4">
        <v>72731.14</v>
      </c>
      <c r="F84" s="4">
        <v>4644</v>
      </c>
      <c r="G84" s="4">
        <v>8.4000000000000005E-2</v>
      </c>
      <c r="H84" s="4">
        <v>15</v>
      </c>
      <c r="I84" s="4">
        <v>87.1</v>
      </c>
      <c r="J84" s="4">
        <v>2.66</v>
      </c>
      <c r="K84" s="4">
        <v>0</v>
      </c>
      <c r="L84" s="4">
        <v>4.5999999999999996</v>
      </c>
      <c r="M84" s="4">
        <v>727241.86</v>
      </c>
      <c r="N84" s="4">
        <v>155810.29999999999</v>
      </c>
      <c r="O84">
        <f t="shared" si="2"/>
        <v>0</v>
      </c>
      <c r="P84">
        <f t="shared" si="3"/>
        <v>0</v>
      </c>
    </row>
    <row r="85" spans="1:16">
      <c r="A85" s="4" t="s">
        <v>42</v>
      </c>
      <c r="B85" s="6">
        <v>45748</v>
      </c>
      <c r="C85" s="4" t="s">
        <v>27</v>
      </c>
      <c r="D85" s="4" t="s">
        <v>28</v>
      </c>
      <c r="E85" s="4">
        <v>36475.71</v>
      </c>
      <c r="F85" s="4">
        <v>3559</v>
      </c>
      <c r="G85" s="4">
        <v>0.03</v>
      </c>
      <c r="H85" s="4">
        <v>8</v>
      </c>
      <c r="I85" s="4">
        <v>83.6</v>
      </c>
      <c r="J85" s="4">
        <v>1.41</v>
      </c>
      <c r="K85" s="4">
        <v>0</v>
      </c>
      <c r="L85" s="4">
        <v>4.2</v>
      </c>
      <c r="M85" s="4">
        <v>569100.78</v>
      </c>
      <c r="N85" s="4">
        <v>104808.78</v>
      </c>
      <c r="O85">
        <f t="shared" si="2"/>
        <v>0</v>
      </c>
      <c r="P85">
        <f t="shared" si="3"/>
        <v>0</v>
      </c>
    </row>
    <row r="86" spans="1:16">
      <c r="A86" s="4" t="s">
        <v>43</v>
      </c>
      <c r="B86" s="6">
        <v>45658</v>
      </c>
      <c r="C86" s="4" t="s">
        <v>27</v>
      </c>
      <c r="D86" s="4" t="s">
        <v>18</v>
      </c>
      <c r="E86" s="4">
        <v>55388.11</v>
      </c>
      <c r="F86" s="4">
        <v>3091</v>
      </c>
      <c r="G86" s="4">
        <v>0.108</v>
      </c>
      <c r="H86" s="4">
        <v>7</v>
      </c>
      <c r="I86" s="4">
        <v>85.4</v>
      </c>
      <c r="J86" s="4">
        <v>7.34</v>
      </c>
      <c r="K86" s="4">
        <v>0</v>
      </c>
      <c r="L86" s="4">
        <v>4.9000000000000004</v>
      </c>
      <c r="M86" s="4">
        <v>574436.29</v>
      </c>
      <c r="N86" s="4">
        <v>80271.990000000005</v>
      </c>
      <c r="O86">
        <f t="shared" si="2"/>
        <v>0</v>
      </c>
      <c r="P86">
        <f t="shared" si="3"/>
        <v>1</v>
      </c>
    </row>
    <row r="87" spans="1:16">
      <c r="A87" s="4" t="s">
        <v>43</v>
      </c>
      <c r="B87" s="6">
        <v>45689</v>
      </c>
      <c r="C87" s="4" t="s">
        <v>27</v>
      </c>
      <c r="D87" s="4" t="s">
        <v>18</v>
      </c>
      <c r="E87" s="4">
        <v>88443.77</v>
      </c>
      <c r="F87" s="4">
        <v>4004</v>
      </c>
      <c r="G87" s="4">
        <v>0.20599999999999999</v>
      </c>
      <c r="H87" s="4">
        <v>11</v>
      </c>
      <c r="I87" s="4">
        <v>91.9</v>
      </c>
      <c r="J87" s="4">
        <v>5.95</v>
      </c>
      <c r="K87" s="4">
        <v>0</v>
      </c>
      <c r="L87" s="4"/>
      <c r="M87" s="4">
        <v>611766.72</v>
      </c>
      <c r="N87" s="4">
        <v>88275.61</v>
      </c>
      <c r="O87">
        <f t="shared" si="2"/>
        <v>0</v>
      </c>
      <c r="P87">
        <f t="shared" si="3"/>
        <v>1</v>
      </c>
    </row>
    <row r="88" spans="1:16">
      <c r="A88" s="4" t="s">
        <v>43</v>
      </c>
      <c r="B88" s="6">
        <v>45717</v>
      </c>
      <c r="C88" s="4" t="s">
        <v>27</v>
      </c>
      <c r="D88" s="4" t="s">
        <v>18</v>
      </c>
      <c r="E88" s="4">
        <v>78231.91</v>
      </c>
      <c r="F88" s="4">
        <v>3788</v>
      </c>
      <c r="G88" s="4">
        <v>5.8999999999999997E-2</v>
      </c>
      <c r="H88" s="4">
        <v>11</v>
      </c>
      <c r="I88" s="4">
        <v>88.5</v>
      </c>
      <c r="J88" s="4">
        <v>15.51</v>
      </c>
      <c r="K88" s="4">
        <v>0</v>
      </c>
      <c r="L88" s="4">
        <v>4.3</v>
      </c>
      <c r="M88" s="4">
        <v>614596.31999999995</v>
      </c>
      <c r="N88" s="4">
        <v>131199.41</v>
      </c>
      <c r="O88">
        <f t="shared" si="2"/>
        <v>0</v>
      </c>
      <c r="P88">
        <f t="shared" si="3"/>
        <v>1</v>
      </c>
    </row>
    <row r="89" spans="1:16">
      <c r="A89" s="4" t="s">
        <v>43</v>
      </c>
      <c r="B89" s="6">
        <v>45748</v>
      </c>
      <c r="C89" s="4" t="s">
        <v>27</v>
      </c>
      <c r="D89" s="4" t="s">
        <v>18</v>
      </c>
      <c r="E89" s="4">
        <v>18996.32</v>
      </c>
      <c r="F89" s="4">
        <v>1260</v>
      </c>
      <c r="G89" s="4">
        <v>0.14499999999999999</v>
      </c>
      <c r="H89" s="4">
        <v>9</v>
      </c>
      <c r="I89" s="4">
        <v>86.4</v>
      </c>
      <c r="J89" s="4">
        <v>4.3099999999999996</v>
      </c>
      <c r="K89" s="4">
        <v>0</v>
      </c>
      <c r="L89" s="4">
        <v>4.5999999999999996</v>
      </c>
      <c r="M89" s="4">
        <v>450711.92</v>
      </c>
      <c r="N89" s="4">
        <v>90043.76</v>
      </c>
      <c r="O89">
        <f t="shared" si="2"/>
        <v>0</v>
      </c>
      <c r="P89">
        <f t="shared" si="3"/>
        <v>1</v>
      </c>
    </row>
    <row r="90" spans="1:16">
      <c r="A90" s="4" t="s">
        <v>44</v>
      </c>
      <c r="B90" s="6">
        <v>45658</v>
      </c>
      <c r="C90" s="4" t="s">
        <v>24</v>
      </c>
      <c r="D90" s="4" t="s">
        <v>28</v>
      </c>
      <c r="E90" s="4">
        <v>50517.94</v>
      </c>
      <c r="F90" s="4">
        <v>7024</v>
      </c>
      <c r="G90" s="4">
        <v>2.9000000000000001E-2</v>
      </c>
      <c r="H90" s="4">
        <v>18</v>
      </c>
      <c r="I90" s="4">
        <v>79.2</v>
      </c>
      <c r="J90" s="4">
        <v>6.61</v>
      </c>
      <c r="K90" s="4">
        <v>1</v>
      </c>
      <c r="L90" s="4">
        <v>4.0999999999999996</v>
      </c>
      <c r="M90" s="4">
        <v>711213.46</v>
      </c>
      <c r="N90" s="4">
        <v>105863.26</v>
      </c>
      <c r="O90">
        <f t="shared" si="2"/>
        <v>0</v>
      </c>
      <c r="P90">
        <f t="shared" si="3"/>
        <v>0</v>
      </c>
    </row>
    <row r="91" spans="1:16">
      <c r="A91" s="4" t="s">
        <v>44</v>
      </c>
      <c r="B91" s="6">
        <v>45689</v>
      </c>
      <c r="C91" s="4" t="s">
        <v>24</v>
      </c>
      <c r="D91" s="4" t="s">
        <v>28</v>
      </c>
      <c r="E91" s="4">
        <v>141540.29</v>
      </c>
      <c r="F91" s="4">
        <v>5400</v>
      </c>
      <c r="G91" s="4">
        <v>1.2999999999999999E-2</v>
      </c>
      <c r="H91" s="4">
        <v>12</v>
      </c>
      <c r="I91" s="4">
        <v>87</v>
      </c>
      <c r="J91" s="4">
        <v>4.26</v>
      </c>
      <c r="K91" s="4">
        <v>0</v>
      </c>
      <c r="L91" s="4">
        <v>4.5</v>
      </c>
      <c r="M91" s="4">
        <v>627171.9</v>
      </c>
      <c r="N91" s="4">
        <v>105772.75</v>
      </c>
      <c r="O91">
        <f t="shared" si="2"/>
        <v>0</v>
      </c>
      <c r="P91">
        <f t="shared" si="3"/>
        <v>0</v>
      </c>
    </row>
    <row r="92" spans="1:16">
      <c r="A92" s="4" t="s">
        <v>44</v>
      </c>
      <c r="B92" s="6">
        <v>45717</v>
      </c>
      <c r="C92" s="4" t="s">
        <v>24</v>
      </c>
      <c r="D92" s="4" t="s">
        <v>28</v>
      </c>
      <c r="E92" s="4">
        <v>82116.19</v>
      </c>
      <c r="F92" s="4">
        <v>5988</v>
      </c>
      <c r="G92" s="4">
        <v>0.04</v>
      </c>
      <c r="H92" s="4">
        <v>17</v>
      </c>
      <c r="I92" s="4">
        <v>91.8</v>
      </c>
      <c r="J92" s="4">
        <v>5.75</v>
      </c>
      <c r="K92" s="4">
        <v>0</v>
      </c>
      <c r="L92" s="4">
        <v>4.7</v>
      </c>
      <c r="M92" s="4">
        <v>739852.58</v>
      </c>
      <c r="N92" s="4">
        <v>129386.43</v>
      </c>
      <c r="O92">
        <f t="shared" si="2"/>
        <v>0</v>
      </c>
      <c r="P92">
        <f t="shared" si="3"/>
        <v>0</v>
      </c>
    </row>
    <row r="93" spans="1:16">
      <c r="A93" s="4" t="s">
        <v>44</v>
      </c>
      <c r="B93" s="6">
        <v>45748</v>
      </c>
      <c r="C93" s="4" t="s">
        <v>24</v>
      </c>
      <c r="D93" s="4" t="s">
        <v>28</v>
      </c>
      <c r="E93" s="4">
        <v>31207.51</v>
      </c>
      <c r="F93" s="4">
        <v>3701</v>
      </c>
      <c r="G93" s="4">
        <v>4.2999999999999997E-2</v>
      </c>
      <c r="H93" s="4">
        <v>11</v>
      </c>
      <c r="I93" s="4">
        <v>84.7</v>
      </c>
      <c r="J93" s="4">
        <v>0.33</v>
      </c>
      <c r="K93" s="4">
        <v>0</v>
      </c>
      <c r="L93" s="4">
        <v>4.3</v>
      </c>
      <c r="M93" s="4">
        <v>586307.22</v>
      </c>
      <c r="N93" s="4">
        <v>73927.850000000006</v>
      </c>
      <c r="O93">
        <f t="shared" si="2"/>
        <v>0</v>
      </c>
      <c r="P93">
        <f t="shared" si="3"/>
        <v>0</v>
      </c>
    </row>
    <row r="94" spans="1:16">
      <c r="A94" s="4" t="s">
        <v>45</v>
      </c>
      <c r="B94" s="6">
        <v>45658</v>
      </c>
      <c r="C94" s="4" t="s">
        <v>27</v>
      </c>
      <c r="D94" s="4" t="s">
        <v>16</v>
      </c>
      <c r="E94" s="4">
        <v>38966.589999999997</v>
      </c>
      <c r="F94" s="4">
        <v>4509</v>
      </c>
      <c r="G94" s="4">
        <v>0.19400000000000001</v>
      </c>
      <c r="H94" s="4">
        <v>14</v>
      </c>
      <c r="I94" s="4">
        <v>91.1</v>
      </c>
      <c r="J94" s="4">
        <v>2.92</v>
      </c>
      <c r="K94" s="4">
        <v>0</v>
      </c>
      <c r="L94" s="4">
        <v>4.5999999999999996</v>
      </c>
      <c r="M94" s="4">
        <v>585937.48</v>
      </c>
      <c r="N94" s="4">
        <v>82624.2</v>
      </c>
      <c r="O94">
        <f t="shared" si="2"/>
        <v>1</v>
      </c>
      <c r="P94">
        <f t="shared" si="3"/>
        <v>0</v>
      </c>
    </row>
    <row r="95" spans="1:16">
      <c r="A95" s="4" t="s">
        <v>45</v>
      </c>
      <c r="B95" s="6">
        <v>45689</v>
      </c>
      <c r="C95" s="4" t="s">
        <v>27</v>
      </c>
      <c r="D95" s="4" t="s">
        <v>16</v>
      </c>
      <c r="E95" s="4">
        <v>67439.3</v>
      </c>
      <c r="F95" s="4">
        <v>6477</v>
      </c>
      <c r="G95" s="4">
        <v>0</v>
      </c>
      <c r="H95" s="4">
        <v>16</v>
      </c>
      <c r="I95" s="4">
        <v>90.9</v>
      </c>
      <c r="J95" s="4">
        <v>1.64</v>
      </c>
      <c r="K95" s="4">
        <v>0</v>
      </c>
      <c r="L95" s="4">
        <v>4.5</v>
      </c>
      <c r="M95" s="4">
        <v>753473.55</v>
      </c>
      <c r="N95" s="4">
        <v>151527.22</v>
      </c>
      <c r="O95">
        <f t="shared" si="2"/>
        <v>1</v>
      </c>
      <c r="P95">
        <f t="shared" si="3"/>
        <v>0</v>
      </c>
    </row>
    <row r="96" spans="1:16">
      <c r="A96" s="4" t="s">
        <v>45</v>
      </c>
      <c r="B96" s="6">
        <v>45717</v>
      </c>
      <c r="C96" s="4" t="s">
        <v>27</v>
      </c>
      <c r="D96" s="4" t="s">
        <v>16</v>
      </c>
      <c r="E96" s="4">
        <v>86421.88</v>
      </c>
      <c r="F96" s="4">
        <v>7970</v>
      </c>
      <c r="G96" s="4">
        <v>7.2999999999999995E-2</v>
      </c>
      <c r="H96" s="4">
        <v>17</v>
      </c>
      <c r="I96" s="4">
        <v>91.3</v>
      </c>
      <c r="J96" s="4">
        <v>0.8</v>
      </c>
      <c r="K96" s="4">
        <v>0</v>
      </c>
      <c r="L96" s="4">
        <v>5</v>
      </c>
      <c r="M96" s="4">
        <v>838250.32</v>
      </c>
      <c r="N96" s="4">
        <v>122939.34</v>
      </c>
      <c r="O96">
        <f t="shared" si="2"/>
        <v>1</v>
      </c>
      <c r="P96">
        <f t="shared" si="3"/>
        <v>0</v>
      </c>
    </row>
    <row r="97" spans="1:16">
      <c r="A97" s="4" t="s">
        <v>45</v>
      </c>
      <c r="B97" s="6">
        <v>45748</v>
      </c>
      <c r="C97" s="4" t="s">
        <v>27</v>
      </c>
      <c r="D97" s="4" t="s">
        <v>16</v>
      </c>
      <c r="E97" s="4">
        <v>9534.65</v>
      </c>
      <c r="F97" s="4">
        <v>6057</v>
      </c>
      <c r="G97" s="4">
        <v>7.3999999999999996E-2</v>
      </c>
      <c r="H97" s="4">
        <v>15</v>
      </c>
      <c r="I97" s="4">
        <v>94.1</v>
      </c>
      <c r="J97" s="4">
        <v>5.79</v>
      </c>
      <c r="K97" s="4">
        <v>0</v>
      </c>
      <c r="L97" s="4">
        <v>4.5</v>
      </c>
      <c r="M97" s="4">
        <v>607898.12</v>
      </c>
      <c r="N97" s="4">
        <v>135404.85</v>
      </c>
      <c r="O97">
        <f t="shared" si="2"/>
        <v>1</v>
      </c>
      <c r="P97">
        <f t="shared" si="3"/>
        <v>0</v>
      </c>
    </row>
    <row r="98" spans="1:16">
      <c r="A98" s="4" t="s">
        <v>46</v>
      </c>
      <c r="B98" s="6">
        <v>45658</v>
      </c>
      <c r="C98" s="4" t="s">
        <v>27</v>
      </c>
      <c r="D98" s="4" t="s">
        <v>28</v>
      </c>
      <c r="E98" s="4">
        <v>61132.07</v>
      </c>
      <c r="F98" s="4">
        <v>6394</v>
      </c>
      <c r="G98" s="4">
        <v>0.16300000000000001</v>
      </c>
      <c r="H98" s="4">
        <v>19</v>
      </c>
      <c r="I98" s="4">
        <v>91</v>
      </c>
      <c r="J98" s="4">
        <v>19.600000000000001</v>
      </c>
      <c r="K98" s="4">
        <v>0</v>
      </c>
      <c r="L98" s="4">
        <v>4.4000000000000004</v>
      </c>
      <c r="M98" s="4">
        <v>691113.62</v>
      </c>
      <c r="N98" s="4">
        <v>135145.44</v>
      </c>
      <c r="O98">
        <f t="shared" si="2"/>
        <v>0</v>
      </c>
      <c r="P98">
        <f t="shared" si="3"/>
        <v>0</v>
      </c>
    </row>
    <row r="99" spans="1:16">
      <c r="A99" s="4" t="s">
        <v>46</v>
      </c>
      <c r="B99" s="6">
        <v>45689</v>
      </c>
      <c r="C99" s="4" t="s">
        <v>27</v>
      </c>
      <c r="D99" s="4" t="s">
        <v>28</v>
      </c>
      <c r="E99" s="4">
        <v>78839.39</v>
      </c>
      <c r="F99" s="4">
        <v>5150</v>
      </c>
      <c r="G99" s="4">
        <v>0.17100000000000001</v>
      </c>
      <c r="H99" s="4">
        <v>13</v>
      </c>
      <c r="I99" s="4">
        <v>85.8</v>
      </c>
      <c r="J99" s="4">
        <v>7.57</v>
      </c>
      <c r="K99" s="4">
        <v>0</v>
      </c>
      <c r="L99" s="4">
        <v>4.3</v>
      </c>
      <c r="M99" s="4">
        <v>735509.4</v>
      </c>
      <c r="N99" s="4">
        <v>83895.96</v>
      </c>
      <c r="O99">
        <f t="shared" si="2"/>
        <v>0</v>
      </c>
      <c r="P99">
        <f t="shared" si="3"/>
        <v>0</v>
      </c>
    </row>
    <row r="100" spans="1:16">
      <c r="A100" s="4" t="s">
        <v>46</v>
      </c>
      <c r="B100" s="6">
        <v>45717</v>
      </c>
      <c r="C100" s="4" t="s">
        <v>27</v>
      </c>
      <c r="D100" s="4" t="s">
        <v>28</v>
      </c>
      <c r="E100" s="4">
        <v>38752.800000000003</v>
      </c>
      <c r="F100" s="4">
        <v>4712</v>
      </c>
      <c r="G100" s="4">
        <v>7.4999999999999997E-2</v>
      </c>
      <c r="H100" s="4">
        <v>15</v>
      </c>
      <c r="I100" s="4">
        <v>89.7</v>
      </c>
      <c r="J100" s="4"/>
      <c r="K100" s="4">
        <v>0</v>
      </c>
      <c r="L100" s="4">
        <v>4.3</v>
      </c>
      <c r="M100" s="4">
        <v>605775.32999999996</v>
      </c>
      <c r="N100" s="4">
        <v>107194.6</v>
      </c>
      <c r="O100">
        <f t="shared" si="2"/>
        <v>0</v>
      </c>
      <c r="P100">
        <f t="shared" si="3"/>
        <v>0</v>
      </c>
    </row>
    <row r="101" spans="1:16">
      <c r="A101" s="4" t="s">
        <v>46</v>
      </c>
      <c r="B101" s="6">
        <v>45748</v>
      </c>
      <c r="C101" s="4" t="s">
        <v>27</v>
      </c>
      <c r="D101" s="4" t="s">
        <v>28</v>
      </c>
      <c r="E101" s="4">
        <v>55101.1</v>
      </c>
      <c r="F101" s="4">
        <v>5281</v>
      </c>
      <c r="G101" s="4">
        <v>0.189</v>
      </c>
      <c r="H101" s="4">
        <v>11</v>
      </c>
      <c r="I101" s="4">
        <v>91</v>
      </c>
      <c r="J101" s="4">
        <v>2.7</v>
      </c>
      <c r="K101" s="4">
        <v>0</v>
      </c>
      <c r="L101" s="4">
        <v>4.4000000000000004</v>
      </c>
      <c r="M101" s="4">
        <v>675177.68</v>
      </c>
      <c r="N101" s="4">
        <v>105628.68</v>
      </c>
      <c r="O101">
        <f t="shared" si="2"/>
        <v>0</v>
      </c>
      <c r="P101">
        <f t="shared" si="3"/>
        <v>0</v>
      </c>
    </row>
    <row r="102" spans="1:16">
      <c r="A102" s="4" t="s">
        <v>47</v>
      </c>
      <c r="B102" s="6">
        <v>45658</v>
      </c>
      <c r="C102" s="4" t="s">
        <v>15</v>
      </c>
      <c r="D102" s="4" t="s">
        <v>28</v>
      </c>
      <c r="E102" s="4">
        <v>53084.76</v>
      </c>
      <c r="F102" s="4">
        <v>3642</v>
      </c>
      <c r="G102" s="4">
        <v>0.15</v>
      </c>
      <c r="H102" s="4">
        <v>12</v>
      </c>
      <c r="I102" s="4">
        <v>91.4</v>
      </c>
      <c r="J102" s="4">
        <v>0.2</v>
      </c>
      <c r="K102" s="4">
        <v>0</v>
      </c>
      <c r="L102" s="4">
        <v>4.4000000000000004</v>
      </c>
      <c r="M102" s="4">
        <v>635181.35</v>
      </c>
      <c r="N102" s="4">
        <v>83341.25</v>
      </c>
      <c r="O102">
        <f t="shared" si="2"/>
        <v>0</v>
      </c>
      <c r="P102">
        <f t="shared" si="3"/>
        <v>0</v>
      </c>
    </row>
    <row r="103" spans="1:16">
      <c r="A103" s="4" t="s">
        <v>47</v>
      </c>
      <c r="B103" s="6">
        <v>45689</v>
      </c>
      <c r="C103" s="4" t="s">
        <v>15</v>
      </c>
      <c r="D103" s="4" t="s">
        <v>28</v>
      </c>
      <c r="E103" s="4">
        <v>63101.59</v>
      </c>
      <c r="F103" s="4">
        <v>4373</v>
      </c>
      <c r="G103" s="4">
        <v>0.17299999999999999</v>
      </c>
      <c r="H103" s="4">
        <v>14</v>
      </c>
      <c r="I103" s="4">
        <v>90.4</v>
      </c>
      <c r="J103" s="4">
        <v>7.87</v>
      </c>
      <c r="K103" s="4">
        <v>0</v>
      </c>
      <c r="L103" s="4">
        <v>4.7</v>
      </c>
      <c r="M103" s="4">
        <v>586626.93999999994</v>
      </c>
      <c r="N103" s="4">
        <v>86498.55</v>
      </c>
      <c r="O103">
        <f t="shared" si="2"/>
        <v>0</v>
      </c>
      <c r="P103">
        <f t="shared" si="3"/>
        <v>0</v>
      </c>
    </row>
    <row r="104" spans="1:16">
      <c r="A104" s="4" t="s">
        <v>47</v>
      </c>
      <c r="B104" s="6">
        <v>45717</v>
      </c>
      <c r="C104" s="4" t="s">
        <v>15</v>
      </c>
      <c r="D104" s="4" t="s">
        <v>28</v>
      </c>
      <c r="E104" s="4">
        <v>90084.4</v>
      </c>
      <c r="F104" s="4">
        <v>6832</v>
      </c>
      <c r="G104" s="4">
        <v>0.185</v>
      </c>
      <c r="H104" s="4">
        <v>14</v>
      </c>
      <c r="I104" s="4">
        <v>80.5</v>
      </c>
      <c r="J104" s="4">
        <v>0.77</v>
      </c>
      <c r="K104" s="4">
        <v>1</v>
      </c>
      <c r="L104" s="4">
        <v>4.4000000000000004</v>
      </c>
      <c r="M104" s="4">
        <v>740102.64</v>
      </c>
      <c r="N104" s="4">
        <v>114299.07</v>
      </c>
      <c r="O104">
        <f t="shared" si="2"/>
        <v>0</v>
      </c>
      <c r="P104">
        <f t="shared" si="3"/>
        <v>0</v>
      </c>
    </row>
    <row r="105" spans="1:16">
      <c r="A105" s="4" t="s">
        <v>47</v>
      </c>
      <c r="B105" s="6">
        <v>45748</v>
      </c>
      <c r="C105" s="4" t="s">
        <v>15</v>
      </c>
      <c r="D105" s="4" t="s">
        <v>28</v>
      </c>
      <c r="E105" s="4">
        <v>32266.639999999999</v>
      </c>
      <c r="F105" s="4">
        <v>2414</v>
      </c>
      <c r="G105" s="4">
        <v>0.08</v>
      </c>
      <c r="H105" s="4">
        <v>7</v>
      </c>
      <c r="I105" s="4">
        <v>92.1</v>
      </c>
      <c r="J105" s="4">
        <v>1.48</v>
      </c>
      <c r="K105" s="4">
        <v>0</v>
      </c>
      <c r="L105" s="4">
        <v>5</v>
      </c>
      <c r="M105" s="4">
        <v>625514.04</v>
      </c>
      <c r="N105" s="4">
        <v>120685.08</v>
      </c>
      <c r="O105">
        <f t="shared" si="2"/>
        <v>0</v>
      </c>
      <c r="P105">
        <f t="shared" si="3"/>
        <v>0</v>
      </c>
    </row>
    <row r="106" spans="1:16">
      <c r="A106" s="4" t="s">
        <v>48</v>
      </c>
      <c r="B106" s="6">
        <v>45658</v>
      </c>
      <c r="C106" s="4" t="s">
        <v>27</v>
      </c>
      <c r="D106" s="4" t="s">
        <v>18</v>
      </c>
      <c r="E106" s="4">
        <v>57919.07</v>
      </c>
      <c r="F106" s="4">
        <v>7374</v>
      </c>
      <c r="G106" s="4">
        <v>0.10299999999999999</v>
      </c>
      <c r="H106" s="4">
        <v>21</v>
      </c>
      <c r="I106" s="4">
        <v>82.3</v>
      </c>
      <c r="J106" s="4">
        <v>2.87</v>
      </c>
      <c r="K106" s="4">
        <v>0</v>
      </c>
      <c r="L106" s="4">
        <v>2.9</v>
      </c>
      <c r="M106" s="4">
        <v>727227.2</v>
      </c>
      <c r="N106" s="4">
        <v>121292.01</v>
      </c>
      <c r="O106">
        <f t="shared" si="2"/>
        <v>0</v>
      </c>
      <c r="P106">
        <f t="shared" si="3"/>
        <v>1</v>
      </c>
    </row>
    <row r="107" spans="1:16">
      <c r="A107" s="4" t="s">
        <v>48</v>
      </c>
      <c r="B107" s="6">
        <v>45689</v>
      </c>
      <c r="C107" s="4" t="s">
        <v>27</v>
      </c>
      <c r="D107" s="4" t="s">
        <v>18</v>
      </c>
      <c r="E107" s="4">
        <v>74679.350000000006</v>
      </c>
      <c r="F107" s="4">
        <v>8739</v>
      </c>
      <c r="G107" s="4">
        <v>5.6000000000000001E-2</v>
      </c>
      <c r="H107" s="4">
        <v>21</v>
      </c>
      <c r="I107" s="4">
        <v>91.8</v>
      </c>
      <c r="J107" s="4">
        <v>2.83</v>
      </c>
      <c r="K107" s="4">
        <v>0</v>
      </c>
      <c r="L107" s="4">
        <v>3</v>
      </c>
      <c r="M107" s="4">
        <v>783797.89</v>
      </c>
      <c r="N107" s="4">
        <v>157620.70000000001</v>
      </c>
      <c r="O107">
        <f t="shared" si="2"/>
        <v>0</v>
      </c>
      <c r="P107">
        <f t="shared" si="3"/>
        <v>1</v>
      </c>
    </row>
    <row r="108" spans="1:16">
      <c r="A108" s="4" t="s">
        <v>48</v>
      </c>
      <c r="B108" s="6">
        <v>45717</v>
      </c>
      <c r="C108" s="4" t="s">
        <v>27</v>
      </c>
      <c r="D108" s="4" t="s">
        <v>18</v>
      </c>
      <c r="E108" s="4">
        <v>64294.23</v>
      </c>
      <c r="F108" s="4">
        <v>6992</v>
      </c>
      <c r="G108" s="4">
        <v>0.13300000000000001</v>
      </c>
      <c r="H108" s="4">
        <v>14</v>
      </c>
      <c r="I108" s="4">
        <v>94.1</v>
      </c>
      <c r="J108" s="4">
        <v>0.25</v>
      </c>
      <c r="K108" s="4">
        <v>0</v>
      </c>
      <c r="L108" s="4">
        <v>3</v>
      </c>
      <c r="M108" s="4">
        <v>795153.84</v>
      </c>
      <c r="N108" s="4">
        <v>143194.21</v>
      </c>
      <c r="O108">
        <f t="shared" si="2"/>
        <v>0</v>
      </c>
      <c r="P108">
        <f t="shared" si="3"/>
        <v>1</v>
      </c>
    </row>
    <row r="109" spans="1:16">
      <c r="A109" s="4" t="s">
        <v>48</v>
      </c>
      <c r="B109" s="6">
        <v>45748</v>
      </c>
      <c r="C109" s="4" t="s">
        <v>27</v>
      </c>
      <c r="D109" s="4" t="s">
        <v>18</v>
      </c>
      <c r="E109" s="4">
        <v>31042.03</v>
      </c>
      <c r="F109" s="4">
        <v>7107</v>
      </c>
      <c r="G109" s="4">
        <v>5.0999999999999997E-2</v>
      </c>
      <c r="H109" s="4">
        <v>15</v>
      </c>
      <c r="I109" s="4">
        <v>87</v>
      </c>
      <c r="J109" s="4">
        <v>13.33</v>
      </c>
      <c r="K109" s="4">
        <v>0</v>
      </c>
      <c r="L109" s="4">
        <v>3.2</v>
      </c>
      <c r="M109" s="4">
        <v>665594.93999999994</v>
      </c>
      <c r="N109" s="4">
        <v>127597.34</v>
      </c>
      <c r="O109">
        <f t="shared" si="2"/>
        <v>0</v>
      </c>
      <c r="P109">
        <f t="shared" si="3"/>
        <v>1</v>
      </c>
    </row>
    <row r="110" spans="1:16">
      <c r="A110" s="4" t="s">
        <v>49</v>
      </c>
      <c r="B110" s="6">
        <v>45658</v>
      </c>
      <c r="C110" s="4" t="s">
        <v>15</v>
      </c>
      <c r="D110" s="4" t="s">
        <v>28</v>
      </c>
      <c r="E110" s="4">
        <v>75265.02</v>
      </c>
      <c r="F110" s="4">
        <v>6975</v>
      </c>
      <c r="G110" s="4">
        <v>0.157</v>
      </c>
      <c r="H110" s="4">
        <v>20</v>
      </c>
      <c r="I110" s="4">
        <v>73.8</v>
      </c>
      <c r="J110" s="4">
        <v>6.35</v>
      </c>
      <c r="K110" s="4">
        <v>1</v>
      </c>
      <c r="L110" s="4">
        <v>3.8</v>
      </c>
      <c r="M110" s="4">
        <v>709478.39</v>
      </c>
      <c r="N110" s="4">
        <v>71294.27</v>
      </c>
      <c r="O110">
        <f t="shared" si="2"/>
        <v>0</v>
      </c>
      <c r="P110">
        <f t="shared" si="3"/>
        <v>0</v>
      </c>
    </row>
    <row r="111" spans="1:16">
      <c r="A111" s="4" t="s">
        <v>49</v>
      </c>
      <c r="B111" s="6">
        <v>45689</v>
      </c>
      <c r="C111" s="4" t="s">
        <v>15</v>
      </c>
      <c r="D111" s="4" t="s">
        <v>28</v>
      </c>
      <c r="E111" s="4">
        <v>69411.7</v>
      </c>
      <c r="F111" s="4">
        <v>5493</v>
      </c>
      <c r="G111" s="4">
        <v>0.29199999999999998</v>
      </c>
      <c r="H111" s="4">
        <v>13</v>
      </c>
      <c r="I111" s="4">
        <v>86.5</v>
      </c>
      <c r="J111" s="4">
        <v>6.69</v>
      </c>
      <c r="K111" s="4">
        <v>0</v>
      </c>
      <c r="L111" s="4">
        <v>3.8</v>
      </c>
      <c r="M111" s="4">
        <v>664162.49</v>
      </c>
      <c r="N111" s="4">
        <v>98291.06</v>
      </c>
      <c r="O111">
        <f t="shared" si="2"/>
        <v>0</v>
      </c>
      <c r="P111">
        <f t="shared" si="3"/>
        <v>0</v>
      </c>
    </row>
    <row r="112" spans="1:16">
      <c r="A112" s="4" t="s">
        <v>49</v>
      </c>
      <c r="B112" s="6">
        <v>45717</v>
      </c>
      <c r="C112" s="4" t="s">
        <v>15</v>
      </c>
      <c r="D112" s="4" t="s">
        <v>28</v>
      </c>
      <c r="E112" s="4">
        <v>51056.15</v>
      </c>
      <c r="F112" s="4">
        <v>5686</v>
      </c>
      <c r="G112" s="4">
        <v>8.8999999999999996E-2</v>
      </c>
      <c r="H112" s="4">
        <v>13</v>
      </c>
      <c r="I112" s="4">
        <v>89.9</v>
      </c>
      <c r="J112" s="4">
        <v>1.28</v>
      </c>
      <c r="K112" s="4">
        <v>0</v>
      </c>
      <c r="L112" s="4">
        <v>4.2</v>
      </c>
      <c r="M112" s="4">
        <v>633494.21</v>
      </c>
      <c r="N112" s="4">
        <v>105739.47</v>
      </c>
      <c r="O112">
        <f t="shared" si="2"/>
        <v>0</v>
      </c>
      <c r="P112">
        <f t="shared" si="3"/>
        <v>0</v>
      </c>
    </row>
    <row r="113" spans="1:16">
      <c r="A113" s="4" t="s">
        <v>49</v>
      </c>
      <c r="B113" s="6">
        <v>45748</v>
      </c>
      <c r="C113" s="4" t="s">
        <v>15</v>
      </c>
      <c r="D113" s="4" t="s">
        <v>28</v>
      </c>
      <c r="E113" s="4">
        <v>52758.01</v>
      </c>
      <c r="F113" s="4">
        <v>4063</v>
      </c>
      <c r="G113" s="4">
        <v>5.7000000000000002E-2</v>
      </c>
      <c r="H113" s="4">
        <v>12</v>
      </c>
      <c r="I113" s="4">
        <v>91.7</v>
      </c>
      <c r="J113" s="4">
        <v>0.92</v>
      </c>
      <c r="K113" s="4">
        <v>0</v>
      </c>
      <c r="L113" s="4">
        <v>3.5</v>
      </c>
      <c r="M113" s="4">
        <v>713611.16</v>
      </c>
      <c r="N113" s="4">
        <v>129717.18</v>
      </c>
      <c r="O113">
        <f t="shared" si="2"/>
        <v>0</v>
      </c>
      <c r="P113">
        <f t="shared" si="3"/>
        <v>0</v>
      </c>
    </row>
    <row r="114" spans="1:16">
      <c r="A114" s="4" t="s">
        <v>50</v>
      </c>
      <c r="B114" s="6">
        <v>45658</v>
      </c>
      <c r="C114" s="4" t="s">
        <v>27</v>
      </c>
      <c r="D114" s="4" t="s">
        <v>28</v>
      </c>
      <c r="E114" s="4">
        <v>61426.04</v>
      </c>
      <c r="F114" s="4">
        <v>8966</v>
      </c>
      <c r="G114" s="4">
        <v>0.17299999999999999</v>
      </c>
      <c r="H114" s="4">
        <v>22</v>
      </c>
      <c r="I114" s="4">
        <v>76.400000000000006</v>
      </c>
      <c r="J114" s="4">
        <v>1.05</v>
      </c>
      <c r="K114" s="4">
        <v>0</v>
      </c>
      <c r="L114" s="4">
        <v>3.1</v>
      </c>
      <c r="M114" s="4">
        <v>778397.97</v>
      </c>
      <c r="N114" s="4">
        <v>120044.41</v>
      </c>
      <c r="O114">
        <f t="shared" si="2"/>
        <v>0</v>
      </c>
      <c r="P114">
        <f t="shared" si="3"/>
        <v>0</v>
      </c>
    </row>
    <row r="115" spans="1:16">
      <c r="A115" s="4" t="s">
        <v>50</v>
      </c>
      <c r="B115" s="6">
        <v>45689</v>
      </c>
      <c r="C115" s="4" t="s">
        <v>27</v>
      </c>
      <c r="D115" s="4" t="s">
        <v>28</v>
      </c>
      <c r="E115" s="4">
        <v>80176.34</v>
      </c>
      <c r="F115" s="4">
        <v>9489</v>
      </c>
      <c r="G115" s="4">
        <v>0.14199999999999999</v>
      </c>
      <c r="H115" s="4">
        <v>22</v>
      </c>
      <c r="I115" s="4">
        <v>94.3</v>
      </c>
      <c r="J115" s="4">
        <v>2.67</v>
      </c>
      <c r="K115" s="4">
        <v>0</v>
      </c>
      <c r="L115" s="4">
        <v>3.5</v>
      </c>
      <c r="M115" s="4">
        <v>873380.02</v>
      </c>
      <c r="N115" s="4">
        <v>149734.76</v>
      </c>
      <c r="O115">
        <f t="shared" si="2"/>
        <v>0</v>
      </c>
      <c r="P115">
        <f t="shared" si="3"/>
        <v>0</v>
      </c>
    </row>
    <row r="116" spans="1:16">
      <c r="A116" s="4" t="s">
        <v>50</v>
      </c>
      <c r="B116" s="6">
        <v>45717</v>
      </c>
      <c r="C116" s="4" t="s">
        <v>27</v>
      </c>
      <c r="D116" s="4" t="s">
        <v>28</v>
      </c>
      <c r="E116" s="4">
        <v>33605.18</v>
      </c>
      <c r="F116" s="4">
        <v>9225</v>
      </c>
      <c r="G116" s="4">
        <v>0.159</v>
      </c>
      <c r="H116" s="4">
        <v>23</v>
      </c>
      <c r="I116" s="4">
        <v>88.4</v>
      </c>
      <c r="J116" s="4">
        <v>5.91</v>
      </c>
      <c r="K116" s="4">
        <v>0</v>
      </c>
      <c r="L116" s="4">
        <v>2.8</v>
      </c>
      <c r="M116" s="4">
        <v>697287.9</v>
      </c>
      <c r="N116" s="4">
        <v>128208.33</v>
      </c>
      <c r="O116">
        <f t="shared" si="2"/>
        <v>0</v>
      </c>
      <c r="P116">
        <f t="shared" si="3"/>
        <v>0</v>
      </c>
    </row>
    <row r="117" spans="1:16">
      <c r="A117" s="4" t="s">
        <v>50</v>
      </c>
      <c r="B117" s="6">
        <v>45748</v>
      </c>
      <c r="C117" s="4" t="s">
        <v>27</v>
      </c>
      <c r="D117" s="4" t="s">
        <v>28</v>
      </c>
      <c r="E117" s="4">
        <v>25990.54</v>
      </c>
      <c r="F117" s="4">
        <v>9249</v>
      </c>
      <c r="G117" s="4">
        <v>0.13900000000000001</v>
      </c>
      <c r="H117" s="4">
        <v>23</v>
      </c>
      <c r="I117" s="4">
        <v>92.5</v>
      </c>
      <c r="J117" s="4">
        <v>6.37</v>
      </c>
      <c r="K117" s="4">
        <v>0</v>
      </c>
      <c r="L117" s="4">
        <v>3.3</v>
      </c>
      <c r="M117" s="4">
        <v>718074.79</v>
      </c>
      <c r="N117" s="4">
        <v>115819.87</v>
      </c>
      <c r="O117">
        <f t="shared" si="2"/>
        <v>0</v>
      </c>
      <c r="P117">
        <f t="shared" si="3"/>
        <v>0</v>
      </c>
    </row>
    <row r="118" spans="1:16">
      <c r="A118" s="4" t="s">
        <v>51</v>
      </c>
      <c r="B118" s="6">
        <v>45658</v>
      </c>
      <c r="C118" s="4" t="s">
        <v>27</v>
      </c>
      <c r="D118" s="4" t="s">
        <v>16</v>
      </c>
      <c r="E118" s="4">
        <v>43685.14</v>
      </c>
      <c r="F118" s="4">
        <v>7821</v>
      </c>
      <c r="G118" s="4">
        <v>0.19</v>
      </c>
      <c r="H118" s="4">
        <v>17</v>
      </c>
      <c r="I118" s="4">
        <v>91</v>
      </c>
      <c r="J118" s="4">
        <v>2.4900000000000002</v>
      </c>
      <c r="K118" s="4">
        <v>1</v>
      </c>
      <c r="L118" s="4">
        <v>4.7</v>
      </c>
      <c r="M118" s="4">
        <v>714942.43</v>
      </c>
      <c r="N118" s="4">
        <v>94697.71</v>
      </c>
      <c r="O118">
        <f t="shared" si="2"/>
        <v>1</v>
      </c>
      <c r="P118">
        <f t="shared" si="3"/>
        <v>0</v>
      </c>
    </row>
    <row r="119" spans="1:16">
      <c r="A119" s="4" t="s">
        <v>51</v>
      </c>
      <c r="B119" s="6">
        <v>45689</v>
      </c>
      <c r="C119" s="4" t="s">
        <v>27</v>
      </c>
      <c r="D119" s="4" t="s">
        <v>16</v>
      </c>
      <c r="E119" s="4">
        <v>57360.01</v>
      </c>
      <c r="F119" s="4">
        <v>8434</v>
      </c>
      <c r="G119" s="4">
        <v>0.151</v>
      </c>
      <c r="H119" s="4">
        <v>19</v>
      </c>
      <c r="I119" s="4">
        <v>84.1</v>
      </c>
      <c r="J119" s="4">
        <v>1.56</v>
      </c>
      <c r="K119" s="4">
        <v>0</v>
      </c>
      <c r="L119" s="4">
        <v>4.7</v>
      </c>
      <c r="M119" s="4">
        <v>820519.04</v>
      </c>
      <c r="N119" s="4">
        <v>99035.88</v>
      </c>
      <c r="O119">
        <f t="shared" si="2"/>
        <v>1</v>
      </c>
      <c r="P119">
        <f t="shared" si="3"/>
        <v>0</v>
      </c>
    </row>
    <row r="120" spans="1:16">
      <c r="A120" s="4" t="s">
        <v>51</v>
      </c>
      <c r="B120" s="6">
        <v>45717</v>
      </c>
      <c r="C120" s="4" t="s">
        <v>27</v>
      </c>
      <c r="D120" s="4" t="s">
        <v>16</v>
      </c>
      <c r="E120" s="4">
        <v>42415.47</v>
      </c>
      <c r="F120" s="4">
        <v>8512</v>
      </c>
      <c r="G120" s="4">
        <v>0.13300000000000001</v>
      </c>
      <c r="H120" s="4">
        <v>18</v>
      </c>
      <c r="I120" s="4">
        <v>96.8</v>
      </c>
      <c r="J120" s="4">
        <v>14.95</v>
      </c>
      <c r="K120" s="4">
        <v>0</v>
      </c>
      <c r="L120" s="4">
        <v>4.5999999999999996</v>
      </c>
      <c r="M120" s="4">
        <v>684217.32</v>
      </c>
      <c r="N120" s="4">
        <v>136217.19</v>
      </c>
      <c r="O120">
        <f t="shared" si="2"/>
        <v>1</v>
      </c>
      <c r="P120">
        <f t="shared" si="3"/>
        <v>0</v>
      </c>
    </row>
    <row r="121" spans="1:16">
      <c r="A121" s="4" t="s">
        <v>51</v>
      </c>
      <c r="B121" s="6">
        <v>45748</v>
      </c>
      <c r="C121" s="4" t="s">
        <v>27</v>
      </c>
      <c r="D121" s="4" t="s">
        <v>16</v>
      </c>
      <c r="E121" s="4">
        <v>54968.98</v>
      </c>
      <c r="F121" s="4">
        <v>7816</v>
      </c>
      <c r="G121" s="4">
        <v>0.23200000000000001</v>
      </c>
      <c r="H121" s="4">
        <v>19</v>
      </c>
      <c r="I121" s="4">
        <v>95.7</v>
      </c>
      <c r="J121" s="4">
        <v>7.85</v>
      </c>
      <c r="K121" s="4">
        <v>0</v>
      </c>
      <c r="L121" s="4">
        <v>4.7</v>
      </c>
      <c r="M121" s="4">
        <v>735480.19</v>
      </c>
      <c r="N121" s="4">
        <v>88342.11</v>
      </c>
      <c r="O121">
        <f t="shared" si="2"/>
        <v>1</v>
      </c>
      <c r="P121">
        <f t="shared" si="3"/>
        <v>0</v>
      </c>
    </row>
    <row r="122" spans="1:16">
      <c r="A122" s="4" t="s">
        <v>52</v>
      </c>
      <c r="B122" s="6">
        <v>45658</v>
      </c>
      <c r="C122" s="4" t="s">
        <v>20</v>
      </c>
      <c r="D122" s="4" t="s">
        <v>18</v>
      </c>
      <c r="E122" s="4">
        <v>43896.13</v>
      </c>
      <c r="F122" s="4">
        <v>3853</v>
      </c>
      <c r="G122" s="4">
        <v>8.7999999999999995E-2</v>
      </c>
      <c r="H122" s="4">
        <v>13</v>
      </c>
      <c r="I122" s="4">
        <v>83</v>
      </c>
      <c r="J122" s="4">
        <v>6.8</v>
      </c>
      <c r="K122" s="4">
        <v>0</v>
      </c>
      <c r="L122" s="4">
        <v>4.4000000000000004</v>
      </c>
      <c r="M122" s="4">
        <v>509484.81</v>
      </c>
      <c r="N122" s="4">
        <v>85742.36</v>
      </c>
      <c r="O122">
        <f t="shared" si="2"/>
        <v>0</v>
      </c>
      <c r="P122">
        <f t="shared" si="3"/>
        <v>1</v>
      </c>
    </row>
    <row r="123" spans="1:16">
      <c r="A123" s="4" t="s">
        <v>52</v>
      </c>
      <c r="B123" s="6">
        <v>45689</v>
      </c>
      <c r="C123" s="4" t="s">
        <v>20</v>
      </c>
      <c r="D123" s="4" t="s">
        <v>18</v>
      </c>
      <c r="E123" s="4">
        <v>83044.17</v>
      </c>
      <c r="F123" s="4">
        <v>3694</v>
      </c>
      <c r="G123" s="4">
        <v>0</v>
      </c>
      <c r="H123" s="4">
        <v>14</v>
      </c>
      <c r="I123" s="4">
        <v>89.4</v>
      </c>
      <c r="J123" s="4">
        <v>2.2000000000000002</v>
      </c>
      <c r="K123" s="4">
        <v>0</v>
      </c>
      <c r="L123" s="4">
        <v>3.7</v>
      </c>
      <c r="M123" s="4">
        <v>654317.09</v>
      </c>
      <c r="N123" s="4">
        <v>121446.89</v>
      </c>
      <c r="O123">
        <f t="shared" si="2"/>
        <v>0</v>
      </c>
      <c r="P123">
        <f t="shared" si="3"/>
        <v>1</v>
      </c>
    </row>
    <row r="124" spans="1:16">
      <c r="A124" s="4" t="s">
        <v>52</v>
      </c>
      <c r="B124" s="6">
        <v>45717</v>
      </c>
      <c r="C124" s="4" t="s">
        <v>20</v>
      </c>
      <c r="D124" s="4" t="s">
        <v>18</v>
      </c>
      <c r="E124" s="4">
        <v>48396.13</v>
      </c>
      <c r="F124" s="4">
        <v>4423</v>
      </c>
      <c r="G124" s="4">
        <v>6.9000000000000006E-2</v>
      </c>
      <c r="H124" s="4">
        <v>15</v>
      </c>
      <c r="I124" s="4">
        <v>85.7</v>
      </c>
      <c r="J124" s="4">
        <v>1.88</v>
      </c>
      <c r="K124" s="4">
        <v>0</v>
      </c>
      <c r="L124" s="4">
        <v>3.9</v>
      </c>
      <c r="M124" s="4">
        <v>557487.26</v>
      </c>
      <c r="N124" s="4">
        <v>76432.19</v>
      </c>
      <c r="O124">
        <f t="shared" si="2"/>
        <v>0</v>
      </c>
      <c r="P124">
        <f t="shared" si="3"/>
        <v>1</v>
      </c>
    </row>
    <row r="125" spans="1:16">
      <c r="A125" s="4" t="s">
        <v>52</v>
      </c>
      <c r="B125" s="6">
        <v>45748</v>
      </c>
      <c r="C125" s="4" t="s">
        <v>20</v>
      </c>
      <c r="D125" s="4" t="s">
        <v>18</v>
      </c>
      <c r="E125" s="4">
        <v>19063.48</v>
      </c>
      <c r="F125" s="4">
        <v>1906</v>
      </c>
      <c r="G125" s="4">
        <v>0.216</v>
      </c>
      <c r="H125" s="4">
        <v>10</v>
      </c>
      <c r="I125" s="4">
        <v>97.8</v>
      </c>
      <c r="J125" s="4">
        <v>15.79</v>
      </c>
      <c r="K125" s="4">
        <v>0</v>
      </c>
      <c r="L125" s="4">
        <v>4.4000000000000004</v>
      </c>
      <c r="M125" s="4">
        <v>441275.42</v>
      </c>
      <c r="N125" s="4">
        <v>58234.87</v>
      </c>
      <c r="O125">
        <f t="shared" si="2"/>
        <v>0</v>
      </c>
      <c r="P125">
        <f t="shared" si="3"/>
        <v>1</v>
      </c>
    </row>
    <row r="126" spans="1:16">
      <c r="A126" s="4" t="s">
        <v>53</v>
      </c>
      <c r="B126" s="6">
        <v>45658</v>
      </c>
      <c r="C126" s="4" t="s">
        <v>24</v>
      </c>
      <c r="D126" s="4" t="s">
        <v>18</v>
      </c>
      <c r="E126" s="4">
        <v>61541.21</v>
      </c>
      <c r="F126" s="4">
        <v>10396</v>
      </c>
      <c r="G126" s="4">
        <v>0.123</v>
      </c>
      <c r="H126" s="4">
        <v>25</v>
      </c>
      <c r="I126" s="4">
        <v>88.1</v>
      </c>
      <c r="J126" s="4">
        <v>2.34</v>
      </c>
      <c r="K126" s="4">
        <v>1</v>
      </c>
      <c r="L126" s="4">
        <v>4.8</v>
      </c>
      <c r="M126" s="4">
        <v>914544.17</v>
      </c>
      <c r="N126" s="4">
        <v>79831.73</v>
      </c>
      <c r="O126">
        <f t="shared" si="2"/>
        <v>0</v>
      </c>
      <c r="P126">
        <f t="shared" si="3"/>
        <v>1</v>
      </c>
    </row>
    <row r="127" spans="1:16">
      <c r="A127" s="4" t="s">
        <v>53</v>
      </c>
      <c r="B127" s="6">
        <v>45689</v>
      </c>
      <c r="C127" s="4" t="s">
        <v>24</v>
      </c>
      <c r="D127" s="4" t="s">
        <v>18</v>
      </c>
      <c r="E127" s="4">
        <v>44747</v>
      </c>
      <c r="F127" s="4">
        <v>11076</v>
      </c>
      <c r="G127" s="4">
        <v>0.17599999999999999</v>
      </c>
      <c r="H127" s="4">
        <v>27</v>
      </c>
      <c r="I127" s="4">
        <v>98.3</v>
      </c>
      <c r="J127" s="4">
        <v>0.54</v>
      </c>
      <c r="K127" s="4">
        <v>0</v>
      </c>
      <c r="L127" s="4">
        <v>4.4000000000000004</v>
      </c>
      <c r="M127" s="4">
        <v>842439.67</v>
      </c>
      <c r="N127" s="4">
        <v>169983.63</v>
      </c>
      <c r="O127">
        <f t="shared" si="2"/>
        <v>0</v>
      </c>
      <c r="P127">
        <f t="shared" si="3"/>
        <v>1</v>
      </c>
    </row>
    <row r="128" spans="1:16">
      <c r="A128" s="4" t="s">
        <v>53</v>
      </c>
      <c r="B128" s="6">
        <v>45717</v>
      </c>
      <c r="C128" s="4" t="s">
        <v>24</v>
      </c>
      <c r="D128" s="4" t="s">
        <v>18</v>
      </c>
      <c r="E128" s="4">
        <v>56517.9</v>
      </c>
      <c r="F128" s="4">
        <v>9574</v>
      </c>
      <c r="G128" s="4">
        <v>0.20399999999999999</v>
      </c>
      <c r="H128" s="4">
        <v>20</v>
      </c>
      <c r="I128" s="4">
        <v>88.2</v>
      </c>
      <c r="J128" s="4">
        <v>5.37</v>
      </c>
      <c r="K128" s="4">
        <v>1</v>
      </c>
      <c r="L128" s="4">
        <v>4.9000000000000004</v>
      </c>
      <c r="M128" s="4">
        <v>842157.92</v>
      </c>
      <c r="N128" s="4">
        <v>107348.22</v>
      </c>
      <c r="O128">
        <f t="shared" si="2"/>
        <v>0</v>
      </c>
      <c r="P128">
        <f t="shared" si="3"/>
        <v>1</v>
      </c>
    </row>
    <row r="129" spans="1:16">
      <c r="A129" s="4" t="s">
        <v>53</v>
      </c>
      <c r="B129" s="6">
        <v>45748</v>
      </c>
      <c r="C129" s="4" t="s">
        <v>24</v>
      </c>
      <c r="D129" s="4" t="s">
        <v>18</v>
      </c>
      <c r="E129" s="4">
        <v>37828.5</v>
      </c>
      <c r="F129" s="4">
        <v>8221</v>
      </c>
      <c r="G129" s="4">
        <v>9.6000000000000002E-2</v>
      </c>
      <c r="H129" s="4">
        <v>19</v>
      </c>
      <c r="I129" s="4">
        <v>81.5</v>
      </c>
      <c r="J129" s="4">
        <v>3.19</v>
      </c>
      <c r="K129" s="4">
        <v>0</v>
      </c>
      <c r="L129" s="4">
        <v>4.8</v>
      </c>
      <c r="M129" s="4">
        <v>697155.3</v>
      </c>
      <c r="N129" s="4">
        <v>136408.54</v>
      </c>
      <c r="O129">
        <f t="shared" si="2"/>
        <v>0</v>
      </c>
      <c r="P129">
        <f t="shared" si="3"/>
        <v>1</v>
      </c>
    </row>
    <row r="130" spans="1:16">
      <c r="A130" s="4" t="s">
        <v>54</v>
      </c>
      <c r="B130" s="6">
        <v>45658</v>
      </c>
      <c r="C130" s="4" t="s">
        <v>15</v>
      </c>
      <c r="D130" s="4" t="s">
        <v>18</v>
      </c>
      <c r="E130" s="4">
        <v>66250.53</v>
      </c>
      <c r="F130" s="4">
        <v>10618</v>
      </c>
      <c r="G130" s="4">
        <v>0.14199999999999999</v>
      </c>
      <c r="H130" s="4">
        <v>27</v>
      </c>
      <c r="I130" s="4">
        <v>88.3</v>
      </c>
      <c r="J130" s="4">
        <v>1.1000000000000001</v>
      </c>
      <c r="K130" s="4">
        <v>1</v>
      </c>
      <c r="L130" s="4">
        <v>4.4000000000000004</v>
      </c>
      <c r="M130" s="4">
        <v>849018.3</v>
      </c>
      <c r="N130" s="4">
        <v>149035.13</v>
      </c>
      <c r="O130">
        <f t="shared" si="2"/>
        <v>0</v>
      </c>
      <c r="P130">
        <f t="shared" si="3"/>
        <v>1</v>
      </c>
    </row>
    <row r="131" spans="1:16">
      <c r="A131" s="4" t="s">
        <v>54</v>
      </c>
      <c r="B131" s="6">
        <v>45689</v>
      </c>
      <c r="C131" s="4" t="s">
        <v>15</v>
      </c>
      <c r="D131" s="4" t="s">
        <v>18</v>
      </c>
      <c r="E131" s="4">
        <v>68410.929999999993</v>
      </c>
      <c r="F131" s="4">
        <v>10596</v>
      </c>
      <c r="G131" s="4">
        <v>0.20699999999999999</v>
      </c>
      <c r="H131" s="4">
        <v>25</v>
      </c>
      <c r="I131" s="4">
        <v>81.2</v>
      </c>
      <c r="J131" s="4">
        <v>0.21</v>
      </c>
      <c r="K131" s="4">
        <v>0</v>
      </c>
      <c r="L131" s="4">
        <v>4</v>
      </c>
      <c r="M131" s="4">
        <v>801830.35</v>
      </c>
      <c r="N131" s="4">
        <v>114875.32</v>
      </c>
      <c r="O131">
        <f t="shared" ref="O131:O194" si="4">IF(D131="Residential",1,0)</f>
        <v>0</v>
      </c>
      <c r="P131">
        <f t="shared" ref="P131:P194" si="5">IF(D131="High Street",1,0)</f>
        <v>1</v>
      </c>
    </row>
    <row r="132" spans="1:16">
      <c r="A132" s="4" t="s">
        <v>54</v>
      </c>
      <c r="B132" s="6">
        <v>45717</v>
      </c>
      <c r="C132" s="4" t="s">
        <v>15</v>
      </c>
      <c r="D132" s="4" t="s">
        <v>18</v>
      </c>
      <c r="E132" s="4">
        <v>50735.63</v>
      </c>
      <c r="F132" s="4">
        <v>9619</v>
      </c>
      <c r="G132" s="4">
        <v>0.14399999999999999</v>
      </c>
      <c r="H132" s="4">
        <v>19</v>
      </c>
      <c r="I132" s="4">
        <v>93.8</v>
      </c>
      <c r="J132" s="4">
        <v>5.12</v>
      </c>
      <c r="K132" s="4">
        <v>1</v>
      </c>
      <c r="L132" s="4">
        <v>4.5</v>
      </c>
      <c r="M132" s="4">
        <v>725235.28</v>
      </c>
      <c r="N132" s="4">
        <v>121632.24</v>
      </c>
      <c r="O132">
        <f t="shared" si="4"/>
        <v>0</v>
      </c>
      <c r="P132">
        <f t="shared" si="5"/>
        <v>1</v>
      </c>
    </row>
    <row r="133" spans="1:16">
      <c r="A133" s="4" t="s">
        <v>54</v>
      </c>
      <c r="B133" s="6">
        <v>45748</v>
      </c>
      <c r="C133" s="4" t="s">
        <v>15</v>
      </c>
      <c r="D133" s="4" t="s">
        <v>18</v>
      </c>
      <c r="E133" s="4">
        <v>66455.8</v>
      </c>
      <c r="F133" s="4">
        <v>10836</v>
      </c>
      <c r="G133" s="4">
        <v>8.8999999999999996E-2</v>
      </c>
      <c r="H133" s="4">
        <v>25</v>
      </c>
      <c r="I133" s="4">
        <v>85</v>
      </c>
      <c r="J133" s="4">
        <v>9.77</v>
      </c>
      <c r="K133" s="4">
        <v>0</v>
      </c>
      <c r="L133" s="4">
        <v>4.5</v>
      </c>
      <c r="M133" s="4">
        <v>811452.72</v>
      </c>
      <c r="N133" s="4">
        <v>131325.67000000001</v>
      </c>
      <c r="O133">
        <f t="shared" si="4"/>
        <v>0</v>
      </c>
      <c r="P133">
        <f t="shared" si="5"/>
        <v>1</v>
      </c>
    </row>
    <row r="134" spans="1:16">
      <c r="A134" s="4" t="s">
        <v>55</v>
      </c>
      <c r="B134" s="6">
        <v>45658</v>
      </c>
      <c r="C134" s="4" t="s">
        <v>20</v>
      </c>
      <c r="D134" s="4" t="s">
        <v>18</v>
      </c>
      <c r="E134" s="4">
        <v>70276.28</v>
      </c>
      <c r="F134" s="4">
        <v>3043</v>
      </c>
      <c r="G134" s="4">
        <v>7.9000000000000001E-2</v>
      </c>
      <c r="H134" s="4">
        <v>9</v>
      </c>
      <c r="I134" s="4">
        <v>87.9</v>
      </c>
      <c r="J134" s="4">
        <v>3.77</v>
      </c>
      <c r="K134" s="4">
        <v>0</v>
      </c>
      <c r="L134" s="4">
        <v>4.4000000000000004</v>
      </c>
      <c r="M134" s="4">
        <v>527300.13</v>
      </c>
      <c r="N134" s="4">
        <v>84197.87</v>
      </c>
      <c r="O134">
        <f t="shared" si="4"/>
        <v>0</v>
      </c>
      <c r="P134">
        <f t="shared" si="5"/>
        <v>1</v>
      </c>
    </row>
    <row r="135" spans="1:16">
      <c r="A135" s="4" t="s">
        <v>55</v>
      </c>
      <c r="B135" s="6">
        <v>45689</v>
      </c>
      <c r="C135" s="4" t="s">
        <v>20</v>
      </c>
      <c r="D135" s="4" t="s">
        <v>18</v>
      </c>
      <c r="E135" s="4">
        <v>22071.64</v>
      </c>
      <c r="F135" s="4">
        <v>1814</v>
      </c>
      <c r="G135" s="4">
        <v>0.19600000000000001</v>
      </c>
      <c r="H135" s="4">
        <v>8</v>
      </c>
      <c r="I135" s="4">
        <v>81.099999999999994</v>
      </c>
      <c r="J135" s="4">
        <v>0.78</v>
      </c>
      <c r="K135" s="4">
        <v>0</v>
      </c>
      <c r="L135" s="4"/>
      <c r="M135" s="4">
        <v>400831.65</v>
      </c>
      <c r="N135" s="4">
        <v>70979.31</v>
      </c>
      <c r="O135">
        <f t="shared" si="4"/>
        <v>0</v>
      </c>
      <c r="P135">
        <f t="shared" si="5"/>
        <v>1</v>
      </c>
    </row>
    <row r="136" spans="1:16">
      <c r="A136" s="4" t="s">
        <v>55</v>
      </c>
      <c r="B136" s="6">
        <v>45717</v>
      </c>
      <c r="C136" s="4" t="s">
        <v>20</v>
      </c>
      <c r="D136" s="4" t="s">
        <v>18</v>
      </c>
      <c r="E136" s="4">
        <v>52285.45</v>
      </c>
      <c r="F136" s="4">
        <v>3618</v>
      </c>
      <c r="G136" s="4">
        <v>8.5999999999999993E-2</v>
      </c>
      <c r="H136" s="4">
        <v>11</v>
      </c>
      <c r="I136" s="4">
        <v>95.6</v>
      </c>
      <c r="J136" s="4">
        <v>5.17</v>
      </c>
      <c r="K136" s="4">
        <v>1</v>
      </c>
      <c r="L136" s="4">
        <v>4.4000000000000004</v>
      </c>
      <c r="M136" s="4">
        <v>593247.25</v>
      </c>
      <c r="N136" s="4">
        <v>81240.289999999994</v>
      </c>
      <c r="O136">
        <f t="shared" si="4"/>
        <v>0</v>
      </c>
      <c r="P136">
        <f t="shared" si="5"/>
        <v>1</v>
      </c>
    </row>
    <row r="137" spans="1:16">
      <c r="A137" s="4" t="s">
        <v>55</v>
      </c>
      <c r="B137" s="6">
        <v>45748</v>
      </c>
      <c r="C137" s="4" t="s">
        <v>20</v>
      </c>
      <c r="D137" s="4" t="s">
        <v>18</v>
      </c>
      <c r="E137" s="4">
        <v>70366.759999999995</v>
      </c>
      <c r="F137" s="4">
        <v>1963</v>
      </c>
      <c r="G137" s="4">
        <v>0.182</v>
      </c>
      <c r="H137" s="4">
        <v>8</v>
      </c>
      <c r="I137" s="4">
        <v>89.8</v>
      </c>
      <c r="J137" s="4">
        <v>3.2</v>
      </c>
      <c r="K137" s="4">
        <v>0</v>
      </c>
      <c r="L137" s="4">
        <v>4.5999999999999996</v>
      </c>
      <c r="M137" s="4">
        <v>529075.94999999995</v>
      </c>
      <c r="N137" s="4">
        <v>95978.83</v>
      </c>
      <c r="O137">
        <f t="shared" si="4"/>
        <v>0</v>
      </c>
      <c r="P137">
        <f t="shared" si="5"/>
        <v>1</v>
      </c>
    </row>
    <row r="138" spans="1:16">
      <c r="A138" s="4" t="s">
        <v>56</v>
      </c>
      <c r="B138" s="6">
        <v>45658</v>
      </c>
      <c r="C138" s="4" t="s">
        <v>24</v>
      </c>
      <c r="D138" s="4" t="s">
        <v>16</v>
      </c>
      <c r="E138" s="4">
        <v>71320.66</v>
      </c>
      <c r="F138" s="4">
        <v>7888</v>
      </c>
      <c r="G138" s="4">
        <v>4.8000000000000001E-2</v>
      </c>
      <c r="H138" s="4">
        <v>20</v>
      </c>
      <c r="I138" s="4">
        <v>78.099999999999994</v>
      </c>
      <c r="J138" s="4">
        <v>3.4</v>
      </c>
      <c r="K138" s="4">
        <v>0</v>
      </c>
      <c r="L138" s="4"/>
      <c r="M138" s="4">
        <v>633638.03</v>
      </c>
      <c r="N138" s="4">
        <v>99402.01</v>
      </c>
      <c r="O138">
        <f t="shared" si="4"/>
        <v>1</v>
      </c>
      <c r="P138">
        <f t="shared" si="5"/>
        <v>0</v>
      </c>
    </row>
    <row r="139" spans="1:16">
      <c r="A139" s="4" t="s">
        <v>56</v>
      </c>
      <c r="B139" s="6">
        <v>45689</v>
      </c>
      <c r="C139" s="4" t="s">
        <v>24</v>
      </c>
      <c r="D139" s="4" t="s">
        <v>16</v>
      </c>
      <c r="E139" s="4">
        <v>75109.67</v>
      </c>
      <c r="F139" s="4">
        <v>6244</v>
      </c>
      <c r="G139" s="4">
        <v>7.9000000000000001E-2</v>
      </c>
      <c r="H139" s="4">
        <v>15</v>
      </c>
      <c r="I139" s="4">
        <v>96.3</v>
      </c>
      <c r="J139" s="4">
        <v>7.38</v>
      </c>
      <c r="K139" s="4">
        <v>0</v>
      </c>
      <c r="L139" s="4">
        <v>3.7</v>
      </c>
      <c r="M139" s="4">
        <v>743348.84</v>
      </c>
      <c r="N139" s="4">
        <v>104186.09</v>
      </c>
      <c r="O139">
        <f t="shared" si="4"/>
        <v>1</v>
      </c>
      <c r="P139">
        <f t="shared" si="5"/>
        <v>0</v>
      </c>
    </row>
    <row r="140" spans="1:16">
      <c r="A140" s="4" t="s">
        <v>56</v>
      </c>
      <c r="B140" s="6">
        <v>45717</v>
      </c>
      <c r="C140" s="4" t="s">
        <v>24</v>
      </c>
      <c r="D140" s="4" t="s">
        <v>16</v>
      </c>
      <c r="E140" s="4">
        <v>69779</v>
      </c>
      <c r="F140" s="4">
        <v>6544</v>
      </c>
      <c r="G140" s="4">
        <v>0.152</v>
      </c>
      <c r="H140" s="4">
        <v>18</v>
      </c>
      <c r="I140" s="4">
        <v>90.2</v>
      </c>
      <c r="J140" s="4">
        <v>0.85</v>
      </c>
      <c r="K140" s="4">
        <v>1</v>
      </c>
      <c r="L140" s="4">
        <v>3.3</v>
      </c>
      <c r="M140" s="4">
        <v>758827.64</v>
      </c>
      <c r="N140" s="4">
        <v>161439.48000000001</v>
      </c>
      <c r="O140">
        <f t="shared" si="4"/>
        <v>1</v>
      </c>
      <c r="P140">
        <f t="shared" si="5"/>
        <v>0</v>
      </c>
    </row>
    <row r="141" spans="1:16">
      <c r="A141" s="4" t="s">
        <v>56</v>
      </c>
      <c r="B141" s="6">
        <v>45748</v>
      </c>
      <c r="C141" s="4" t="s">
        <v>24</v>
      </c>
      <c r="D141" s="4" t="s">
        <v>16</v>
      </c>
      <c r="E141" s="4">
        <v>44211.95</v>
      </c>
      <c r="F141" s="4">
        <v>5465</v>
      </c>
      <c r="G141" s="4">
        <v>0.187</v>
      </c>
      <c r="H141" s="4">
        <v>12</v>
      </c>
      <c r="I141" s="4">
        <v>90</v>
      </c>
      <c r="J141" s="4">
        <v>2.89</v>
      </c>
      <c r="K141" s="4">
        <v>0</v>
      </c>
      <c r="L141" s="4">
        <v>3.6</v>
      </c>
      <c r="M141" s="4">
        <v>646559.71</v>
      </c>
      <c r="N141" s="4">
        <v>97981.75</v>
      </c>
      <c r="O141">
        <f t="shared" si="4"/>
        <v>1</v>
      </c>
      <c r="P141">
        <f t="shared" si="5"/>
        <v>0</v>
      </c>
    </row>
    <row r="142" spans="1:16">
      <c r="A142" s="4" t="s">
        <v>57</v>
      </c>
      <c r="B142" s="6">
        <v>45658</v>
      </c>
      <c r="C142" s="4" t="s">
        <v>27</v>
      </c>
      <c r="D142" s="4" t="s">
        <v>18</v>
      </c>
      <c r="E142" s="4">
        <v>51430.31</v>
      </c>
      <c r="F142" s="4">
        <v>6427</v>
      </c>
      <c r="G142" s="4">
        <v>0.23400000000000001</v>
      </c>
      <c r="H142" s="4">
        <v>14</v>
      </c>
      <c r="I142" s="4">
        <v>88.8</v>
      </c>
      <c r="J142" s="4">
        <v>0.77</v>
      </c>
      <c r="K142" s="4">
        <v>0</v>
      </c>
      <c r="L142" s="4">
        <v>4.0999999999999996</v>
      </c>
      <c r="M142" s="4">
        <v>715890.53</v>
      </c>
      <c r="N142" s="4">
        <v>109032.15</v>
      </c>
      <c r="O142">
        <f t="shared" si="4"/>
        <v>0</v>
      </c>
      <c r="P142">
        <f t="shared" si="5"/>
        <v>1</v>
      </c>
    </row>
    <row r="143" spans="1:16">
      <c r="A143" s="4" t="s">
        <v>57</v>
      </c>
      <c r="B143" s="6">
        <v>45689</v>
      </c>
      <c r="C143" s="4" t="s">
        <v>27</v>
      </c>
      <c r="D143" s="4" t="s">
        <v>18</v>
      </c>
      <c r="E143" s="4">
        <v>45706.49</v>
      </c>
      <c r="F143" s="4">
        <v>6704</v>
      </c>
      <c r="G143" s="4">
        <v>3.7999999999999999E-2</v>
      </c>
      <c r="H143" s="4">
        <v>15</v>
      </c>
      <c r="I143" s="4">
        <v>94.2</v>
      </c>
      <c r="J143" s="4">
        <v>2.92</v>
      </c>
      <c r="K143" s="4">
        <v>0</v>
      </c>
      <c r="L143" s="4">
        <v>4.2</v>
      </c>
      <c r="M143" s="4">
        <v>715097.57</v>
      </c>
      <c r="N143" s="4">
        <v>151875.85999999999</v>
      </c>
      <c r="O143">
        <f t="shared" si="4"/>
        <v>0</v>
      </c>
      <c r="P143">
        <f t="shared" si="5"/>
        <v>1</v>
      </c>
    </row>
    <row r="144" spans="1:16">
      <c r="A144" s="4" t="s">
        <v>57</v>
      </c>
      <c r="B144" s="6">
        <v>45717</v>
      </c>
      <c r="C144" s="4" t="s">
        <v>27</v>
      </c>
      <c r="D144" s="4" t="s">
        <v>18</v>
      </c>
      <c r="E144" s="4">
        <v>44034.6</v>
      </c>
      <c r="F144" s="4">
        <v>5645</v>
      </c>
      <c r="G144" s="4">
        <v>6.9000000000000006E-2</v>
      </c>
      <c r="H144" s="4">
        <v>18</v>
      </c>
      <c r="I144" s="4">
        <v>88.5</v>
      </c>
      <c r="J144" s="4">
        <v>3.07</v>
      </c>
      <c r="K144" s="4">
        <v>0</v>
      </c>
      <c r="L144" s="4">
        <v>3.8</v>
      </c>
      <c r="M144" s="4">
        <v>682639.28</v>
      </c>
      <c r="N144" s="4">
        <v>77557.53</v>
      </c>
      <c r="O144">
        <f t="shared" si="4"/>
        <v>0</v>
      </c>
      <c r="P144">
        <f t="shared" si="5"/>
        <v>1</v>
      </c>
    </row>
    <row r="145" spans="1:16">
      <c r="A145" s="4" t="s">
        <v>57</v>
      </c>
      <c r="B145" s="6">
        <v>45748</v>
      </c>
      <c r="C145" s="4" t="s">
        <v>27</v>
      </c>
      <c r="D145" s="4" t="s">
        <v>18</v>
      </c>
      <c r="E145" s="4">
        <v>50198.12</v>
      </c>
      <c r="F145" s="4">
        <v>6089</v>
      </c>
      <c r="G145" s="4">
        <v>0.182</v>
      </c>
      <c r="H145" s="4">
        <v>19</v>
      </c>
      <c r="I145" s="4">
        <v>94</v>
      </c>
      <c r="J145" s="4">
        <v>9.6999999999999993</v>
      </c>
      <c r="K145" s="4">
        <v>0</v>
      </c>
      <c r="L145" s="4">
        <v>3.9</v>
      </c>
      <c r="M145" s="4">
        <v>695098.51</v>
      </c>
      <c r="N145" s="4">
        <v>108192.75</v>
      </c>
      <c r="O145">
        <f t="shared" si="4"/>
        <v>0</v>
      </c>
      <c r="P145">
        <f t="shared" si="5"/>
        <v>1</v>
      </c>
    </row>
    <row r="146" spans="1:16">
      <c r="A146" s="4" t="s">
        <v>58</v>
      </c>
      <c r="B146" s="6">
        <v>45658</v>
      </c>
      <c r="C146" s="4" t="s">
        <v>20</v>
      </c>
      <c r="D146" s="4" t="s">
        <v>16</v>
      </c>
      <c r="E146" s="4">
        <v>70488.2</v>
      </c>
      <c r="F146" s="4">
        <v>4312</v>
      </c>
      <c r="G146" s="4">
        <v>0.16900000000000001</v>
      </c>
      <c r="H146" s="4">
        <v>12</v>
      </c>
      <c r="I146" s="4">
        <v>90.2</v>
      </c>
      <c r="J146" s="4">
        <v>3.71</v>
      </c>
      <c r="K146" s="4">
        <v>0</v>
      </c>
      <c r="L146" s="4">
        <v>3.2</v>
      </c>
      <c r="M146" s="4">
        <v>577732.56999999995</v>
      </c>
      <c r="N146" s="4">
        <v>93804.27</v>
      </c>
      <c r="O146">
        <f t="shared" si="4"/>
        <v>1</v>
      </c>
      <c r="P146">
        <f t="shared" si="5"/>
        <v>0</v>
      </c>
    </row>
    <row r="147" spans="1:16">
      <c r="A147" s="4" t="s">
        <v>58</v>
      </c>
      <c r="B147" s="6">
        <v>45689</v>
      </c>
      <c r="C147" s="4" t="s">
        <v>20</v>
      </c>
      <c r="D147" s="4" t="s">
        <v>16</v>
      </c>
      <c r="E147" s="4">
        <v>50909.27</v>
      </c>
      <c r="F147" s="4">
        <v>3152</v>
      </c>
      <c r="G147" s="4">
        <v>0.06</v>
      </c>
      <c r="H147" s="4">
        <v>13</v>
      </c>
      <c r="I147" s="4">
        <v>93.7</v>
      </c>
      <c r="J147" s="4">
        <v>10.79</v>
      </c>
      <c r="K147" s="4">
        <v>0</v>
      </c>
      <c r="L147" s="4">
        <v>3.5</v>
      </c>
      <c r="M147" s="4">
        <v>537058.32999999996</v>
      </c>
      <c r="N147" s="4">
        <v>93555.71</v>
      </c>
      <c r="O147">
        <f t="shared" si="4"/>
        <v>1</v>
      </c>
      <c r="P147">
        <f t="shared" si="5"/>
        <v>0</v>
      </c>
    </row>
    <row r="148" spans="1:16">
      <c r="A148" s="4" t="s">
        <v>58</v>
      </c>
      <c r="B148" s="6">
        <v>45717</v>
      </c>
      <c r="C148" s="4" t="s">
        <v>20</v>
      </c>
      <c r="D148" s="4" t="s">
        <v>16</v>
      </c>
      <c r="E148" s="4">
        <v>53351.7</v>
      </c>
      <c r="F148" s="4">
        <v>4259</v>
      </c>
      <c r="G148" s="4">
        <v>0.156</v>
      </c>
      <c r="H148" s="4">
        <v>15</v>
      </c>
      <c r="I148" s="4">
        <v>93.7</v>
      </c>
      <c r="J148" s="4">
        <v>6.03</v>
      </c>
      <c r="K148" s="4">
        <v>0</v>
      </c>
      <c r="L148" s="4">
        <v>3.4</v>
      </c>
      <c r="M148" s="4">
        <v>601568.87</v>
      </c>
      <c r="N148" s="4">
        <v>91634.82</v>
      </c>
      <c r="O148">
        <f t="shared" si="4"/>
        <v>1</v>
      </c>
      <c r="P148">
        <f t="shared" si="5"/>
        <v>0</v>
      </c>
    </row>
    <row r="149" spans="1:16">
      <c r="A149" s="4" t="s">
        <v>58</v>
      </c>
      <c r="B149" s="6">
        <v>45748</v>
      </c>
      <c r="C149" s="4" t="s">
        <v>20</v>
      </c>
      <c r="D149" s="4" t="s">
        <v>16</v>
      </c>
      <c r="E149" s="4">
        <v>60322.400000000001</v>
      </c>
      <c r="F149" s="4">
        <v>3350</v>
      </c>
      <c r="G149" s="4">
        <v>0.108</v>
      </c>
      <c r="H149" s="4">
        <v>12</v>
      </c>
      <c r="I149" s="4">
        <v>89.4</v>
      </c>
      <c r="J149" s="4">
        <v>4.92</v>
      </c>
      <c r="K149" s="4">
        <v>0</v>
      </c>
      <c r="L149" s="4">
        <v>3.4</v>
      </c>
      <c r="M149" s="4">
        <v>570964.84</v>
      </c>
      <c r="N149" s="4">
        <v>81331.070000000007</v>
      </c>
      <c r="O149">
        <f t="shared" si="4"/>
        <v>1</v>
      </c>
      <c r="P149">
        <f t="shared" si="5"/>
        <v>0</v>
      </c>
    </row>
    <row r="150" spans="1:16">
      <c r="A150" s="4" t="s">
        <v>59</v>
      </c>
      <c r="B150" s="6">
        <v>45658</v>
      </c>
      <c r="C150" s="4" t="s">
        <v>24</v>
      </c>
      <c r="D150" s="4" t="s">
        <v>28</v>
      </c>
      <c r="E150" s="4">
        <v>51575.68</v>
      </c>
      <c r="F150" s="4">
        <v>5329</v>
      </c>
      <c r="G150" s="4">
        <v>4.7E-2</v>
      </c>
      <c r="H150" s="4">
        <v>17</v>
      </c>
      <c r="I150" s="4">
        <v>88.1</v>
      </c>
      <c r="J150" s="4">
        <v>19.78</v>
      </c>
      <c r="K150" s="4">
        <v>0</v>
      </c>
      <c r="L150" s="4">
        <v>3.8</v>
      </c>
      <c r="M150" s="4">
        <v>614024.91</v>
      </c>
      <c r="N150" s="4">
        <v>84828.93</v>
      </c>
      <c r="O150">
        <f t="shared" si="4"/>
        <v>0</v>
      </c>
      <c r="P150">
        <f t="shared" si="5"/>
        <v>0</v>
      </c>
    </row>
    <row r="151" spans="1:16">
      <c r="A151" s="4" t="s">
        <v>59</v>
      </c>
      <c r="B151" s="6">
        <v>45689</v>
      </c>
      <c r="C151" s="4" t="s">
        <v>24</v>
      </c>
      <c r="D151" s="4" t="s">
        <v>28</v>
      </c>
      <c r="E151" s="4">
        <v>43319.94</v>
      </c>
      <c r="F151" s="4">
        <v>6551</v>
      </c>
      <c r="G151" s="4">
        <v>4.3999999999999997E-2</v>
      </c>
      <c r="H151" s="4">
        <v>13</v>
      </c>
      <c r="I151" s="4">
        <v>99</v>
      </c>
      <c r="J151" s="4">
        <v>5.45</v>
      </c>
      <c r="K151" s="4">
        <v>0</v>
      </c>
      <c r="L151" s="4">
        <v>4.0999999999999996</v>
      </c>
      <c r="M151" s="4">
        <v>712868.35</v>
      </c>
      <c r="N151" s="4">
        <v>133650.51</v>
      </c>
      <c r="O151">
        <f t="shared" si="4"/>
        <v>0</v>
      </c>
      <c r="P151">
        <f t="shared" si="5"/>
        <v>0</v>
      </c>
    </row>
    <row r="152" spans="1:16">
      <c r="A152" s="4" t="s">
        <v>59</v>
      </c>
      <c r="B152" s="6">
        <v>45717</v>
      </c>
      <c r="C152" s="4" t="s">
        <v>24</v>
      </c>
      <c r="D152" s="4" t="s">
        <v>28</v>
      </c>
      <c r="E152" s="4">
        <v>47093.55</v>
      </c>
      <c r="F152" s="4">
        <v>5550</v>
      </c>
      <c r="G152" s="4">
        <v>0.1</v>
      </c>
      <c r="H152" s="4">
        <v>12</v>
      </c>
      <c r="I152" s="4">
        <v>95</v>
      </c>
      <c r="J152" s="4">
        <v>2.33</v>
      </c>
      <c r="K152" s="4">
        <v>1</v>
      </c>
      <c r="L152" s="4">
        <v>3.7</v>
      </c>
      <c r="M152" s="4">
        <v>696744.15</v>
      </c>
      <c r="N152" s="4">
        <v>152230.09</v>
      </c>
      <c r="O152">
        <f t="shared" si="4"/>
        <v>0</v>
      </c>
      <c r="P152">
        <f t="shared" si="5"/>
        <v>0</v>
      </c>
    </row>
    <row r="153" spans="1:16">
      <c r="A153" s="4" t="s">
        <v>59</v>
      </c>
      <c r="B153" s="6">
        <v>45748</v>
      </c>
      <c r="C153" s="4" t="s">
        <v>24</v>
      </c>
      <c r="D153" s="4" t="s">
        <v>28</v>
      </c>
      <c r="E153" s="4">
        <v>71855.09</v>
      </c>
      <c r="F153" s="4">
        <v>5911</v>
      </c>
      <c r="G153" s="4">
        <v>0.19700000000000001</v>
      </c>
      <c r="H153" s="4">
        <v>15</v>
      </c>
      <c r="I153" s="4">
        <v>94.3</v>
      </c>
      <c r="J153" s="4">
        <v>3.55</v>
      </c>
      <c r="K153" s="4">
        <v>0</v>
      </c>
      <c r="L153" s="4">
        <v>4.0999999999999996</v>
      </c>
      <c r="M153" s="4">
        <v>725847.99</v>
      </c>
      <c r="N153" s="4">
        <v>122698.73</v>
      </c>
      <c r="O153">
        <f t="shared" si="4"/>
        <v>0</v>
      </c>
      <c r="P153">
        <f t="shared" si="5"/>
        <v>0</v>
      </c>
    </row>
    <row r="154" spans="1:16">
      <c r="A154" s="4" t="s">
        <v>60</v>
      </c>
      <c r="B154" s="6">
        <v>45658</v>
      </c>
      <c r="C154" s="4" t="s">
        <v>15</v>
      </c>
      <c r="D154" s="4" t="s">
        <v>18</v>
      </c>
      <c r="E154" s="4">
        <v>75645.23</v>
      </c>
      <c r="F154" s="4">
        <v>9674</v>
      </c>
      <c r="G154" s="4">
        <v>0.23400000000000001</v>
      </c>
      <c r="H154" s="4">
        <v>21</v>
      </c>
      <c r="I154" s="4">
        <v>87.4</v>
      </c>
      <c r="J154" s="4">
        <v>0.2</v>
      </c>
      <c r="K154" s="4">
        <v>0</v>
      </c>
      <c r="L154" s="4">
        <v>4.5</v>
      </c>
      <c r="M154" s="4">
        <v>785028.25</v>
      </c>
      <c r="N154" s="4">
        <v>110726.44</v>
      </c>
      <c r="O154">
        <f t="shared" si="4"/>
        <v>0</v>
      </c>
      <c r="P154">
        <f t="shared" si="5"/>
        <v>1</v>
      </c>
    </row>
    <row r="155" spans="1:16">
      <c r="A155" s="4" t="s">
        <v>60</v>
      </c>
      <c r="B155" s="6">
        <v>45689</v>
      </c>
      <c r="C155" s="4" t="s">
        <v>15</v>
      </c>
      <c r="D155" s="4" t="s">
        <v>18</v>
      </c>
      <c r="E155" s="4">
        <v>64374.75</v>
      </c>
      <c r="F155" s="4">
        <v>6740</v>
      </c>
      <c r="G155" s="4">
        <v>0.16900000000000001</v>
      </c>
      <c r="H155" s="4">
        <v>18</v>
      </c>
      <c r="I155" s="4">
        <v>87</v>
      </c>
      <c r="J155" s="4">
        <v>2.09</v>
      </c>
      <c r="K155" s="4">
        <v>0</v>
      </c>
      <c r="L155" s="4">
        <v>4.2</v>
      </c>
      <c r="M155" s="4">
        <v>698492.67</v>
      </c>
      <c r="N155" s="4">
        <v>117319.32</v>
      </c>
      <c r="O155">
        <f t="shared" si="4"/>
        <v>0</v>
      </c>
      <c r="P155">
        <f t="shared" si="5"/>
        <v>1</v>
      </c>
    </row>
    <row r="156" spans="1:16">
      <c r="A156" s="4" t="s">
        <v>60</v>
      </c>
      <c r="B156" s="6">
        <v>45717</v>
      </c>
      <c r="C156" s="4" t="s">
        <v>15</v>
      </c>
      <c r="D156" s="4" t="s">
        <v>18</v>
      </c>
      <c r="E156" s="4">
        <v>61433.84</v>
      </c>
      <c r="F156" s="4">
        <v>7745</v>
      </c>
      <c r="G156" s="4">
        <v>0.18</v>
      </c>
      <c r="H156" s="4">
        <v>16</v>
      </c>
      <c r="I156" s="4">
        <v>90.5</v>
      </c>
      <c r="J156" s="4">
        <v>2.2599999999999998</v>
      </c>
      <c r="K156" s="4">
        <v>0</v>
      </c>
      <c r="L156" s="4">
        <v>4.2</v>
      </c>
      <c r="M156" s="4">
        <v>685830.24</v>
      </c>
      <c r="N156" s="4">
        <v>128736.18</v>
      </c>
      <c r="O156">
        <f t="shared" si="4"/>
        <v>0</v>
      </c>
      <c r="P156">
        <f t="shared" si="5"/>
        <v>1</v>
      </c>
    </row>
    <row r="157" spans="1:16">
      <c r="A157" s="4" t="s">
        <v>60</v>
      </c>
      <c r="B157" s="6">
        <v>45748</v>
      </c>
      <c r="C157" s="4" t="s">
        <v>15</v>
      </c>
      <c r="D157" s="4" t="s">
        <v>18</v>
      </c>
      <c r="E157" s="4">
        <v>42698.14</v>
      </c>
      <c r="F157" s="4">
        <v>7693</v>
      </c>
      <c r="G157" s="4">
        <v>0.187</v>
      </c>
      <c r="H157" s="4">
        <v>19</v>
      </c>
      <c r="I157" s="4">
        <v>90.1</v>
      </c>
      <c r="J157" s="4">
        <v>0.44</v>
      </c>
      <c r="K157" s="4">
        <v>0</v>
      </c>
      <c r="L157" s="4">
        <v>4.4000000000000004</v>
      </c>
      <c r="M157" s="4">
        <v>702318.94</v>
      </c>
      <c r="N157" s="4">
        <v>112829.29</v>
      </c>
      <c r="O157">
        <f t="shared" si="4"/>
        <v>0</v>
      </c>
      <c r="P157">
        <f t="shared" si="5"/>
        <v>1</v>
      </c>
    </row>
    <row r="158" spans="1:16">
      <c r="A158" s="4" t="s">
        <v>61</v>
      </c>
      <c r="B158" s="6">
        <v>45658</v>
      </c>
      <c r="C158" s="4" t="s">
        <v>20</v>
      </c>
      <c r="D158" s="4" t="s">
        <v>28</v>
      </c>
      <c r="E158" s="4">
        <v>86883.31</v>
      </c>
      <c r="F158" s="4">
        <v>6424</v>
      </c>
      <c r="G158" s="4">
        <v>5.7000000000000002E-2</v>
      </c>
      <c r="H158" s="4">
        <v>19</v>
      </c>
      <c r="I158" s="4">
        <v>85.2</v>
      </c>
      <c r="J158" s="4">
        <v>3.08</v>
      </c>
      <c r="K158" s="4">
        <v>0</v>
      </c>
      <c r="L158" s="4">
        <v>3.9</v>
      </c>
      <c r="M158" s="4">
        <v>700078.32</v>
      </c>
      <c r="N158" s="4">
        <v>123707.58</v>
      </c>
      <c r="O158">
        <f t="shared" si="4"/>
        <v>0</v>
      </c>
      <c r="P158">
        <f t="shared" si="5"/>
        <v>0</v>
      </c>
    </row>
    <row r="159" spans="1:16">
      <c r="A159" s="4" t="s">
        <v>61</v>
      </c>
      <c r="B159" s="6">
        <v>45689</v>
      </c>
      <c r="C159" s="4" t="s">
        <v>20</v>
      </c>
      <c r="D159" s="4" t="s">
        <v>28</v>
      </c>
      <c r="E159" s="4">
        <v>41863.08</v>
      </c>
      <c r="F159" s="4">
        <v>5400</v>
      </c>
      <c r="G159" s="4">
        <v>0.114</v>
      </c>
      <c r="H159" s="4">
        <v>11</v>
      </c>
      <c r="I159" s="4">
        <v>91.6</v>
      </c>
      <c r="J159" s="4">
        <v>7.99</v>
      </c>
      <c r="K159" s="4">
        <v>0</v>
      </c>
      <c r="L159" s="4">
        <v>3</v>
      </c>
      <c r="M159" s="4">
        <v>602002.31999999995</v>
      </c>
      <c r="N159" s="4">
        <v>110453.28</v>
      </c>
      <c r="O159">
        <f t="shared" si="4"/>
        <v>0</v>
      </c>
      <c r="P159">
        <f t="shared" si="5"/>
        <v>0</v>
      </c>
    </row>
    <row r="160" spans="1:16">
      <c r="A160" s="4" t="s">
        <v>61</v>
      </c>
      <c r="B160" s="6">
        <v>45717</v>
      </c>
      <c r="C160" s="4" t="s">
        <v>20</v>
      </c>
      <c r="D160" s="4" t="s">
        <v>28</v>
      </c>
      <c r="E160" s="4">
        <v>56918.16</v>
      </c>
      <c r="F160" s="4">
        <v>7015</v>
      </c>
      <c r="G160" s="4">
        <v>0.158</v>
      </c>
      <c r="H160" s="4">
        <v>18</v>
      </c>
      <c r="I160" s="4">
        <v>74.2</v>
      </c>
      <c r="J160" s="4">
        <v>0.2</v>
      </c>
      <c r="K160" s="4">
        <v>0</v>
      </c>
      <c r="L160" s="4">
        <v>3.4</v>
      </c>
      <c r="M160" s="4">
        <v>724216.07</v>
      </c>
      <c r="N160" s="4">
        <v>100627.56</v>
      </c>
      <c r="O160">
        <f t="shared" si="4"/>
        <v>0</v>
      </c>
      <c r="P160">
        <f t="shared" si="5"/>
        <v>0</v>
      </c>
    </row>
    <row r="161" spans="1:16">
      <c r="A161" s="4" t="s">
        <v>61</v>
      </c>
      <c r="B161" s="6">
        <v>45748</v>
      </c>
      <c r="C161" s="4" t="s">
        <v>20</v>
      </c>
      <c r="D161" s="4" t="s">
        <v>28</v>
      </c>
      <c r="E161" s="4">
        <v>23254.57</v>
      </c>
      <c r="F161" s="4">
        <v>3847</v>
      </c>
      <c r="G161" s="4">
        <v>0.159</v>
      </c>
      <c r="H161" s="4">
        <v>12</v>
      </c>
      <c r="I161" s="4">
        <v>93</v>
      </c>
      <c r="J161" s="4">
        <v>5.46</v>
      </c>
      <c r="K161" s="4">
        <v>0</v>
      </c>
      <c r="L161" s="4">
        <v>3.3</v>
      </c>
      <c r="M161" s="4">
        <v>620973.03</v>
      </c>
      <c r="N161" s="4">
        <v>72303.850000000006</v>
      </c>
      <c r="O161">
        <f t="shared" si="4"/>
        <v>0</v>
      </c>
      <c r="P161">
        <f t="shared" si="5"/>
        <v>0</v>
      </c>
    </row>
    <row r="162" spans="1:16">
      <c r="A162" s="4" t="s">
        <v>62</v>
      </c>
      <c r="B162" s="6">
        <v>45658</v>
      </c>
      <c r="C162" s="4" t="s">
        <v>24</v>
      </c>
      <c r="D162" s="4" t="s">
        <v>18</v>
      </c>
      <c r="E162" s="4">
        <v>41443.410000000003</v>
      </c>
      <c r="F162" s="4">
        <v>7455</v>
      </c>
      <c r="G162" s="4">
        <v>0.17499999999999999</v>
      </c>
      <c r="H162" s="4">
        <v>16</v>
      </c>
      <c r="I162" s="4">
        <v>90.1</v>
      </c>
      <c r="J162" s="4">
        <v>4.05</v>
      </c>
      <c r="K162" s="4">
        <v>0</v>
      </c>
      <c r="L162" s="4">
        <v>4</v>
      </c>
      <c r="M162" s="4">
        <v>650480.06000000006</v>
      </c>
      <c r="N162" s="4">
        <v>109012.07</v>
      </c>
      <c r="O162">
        <f t="shared" si="4"/>
        <v>0</v>
      </c>
      <c r="P162">
        <f t="shared" si="5"/>
        <v>1</v>
      </c>
    </row>
    <row r="163" spans="1:16">
      <c r="A163" s="4" t="s">
        <v>62</v>
      </c>
      <c r="B163" s="6">
        <v>45689</v>
      </c>
      <c r="C163" s="4" t="s">
        <v>24</v>
      </c>
      <c r="D163" s="4" t="s">
        <v>18</v>
      </c>
      <c r="E163" s="4">
        <v>48438.85</v>
      </c>
      <c r="F163" s="4">
        <v>6992</v>
      </c>
      <c r="G163" s="4">
        <v>3.4000000000000002E-2</v>
      </c>
      <c r="H163" s="4">
        <v>20</v>
      </c>
      <c r="I163" s="4">
        <v>91</v>
      </c>
      <c r="J163" s="4">
        <v>4.3600000000000003</v>
      </c>
      <c r="K163" s="4">
        <v>0</v>
      </c>
      <c r="L163" s="4">
        <v>4.2</v>
      </c>
      <c r="M163" s="4">
        <v>778298.88</v>
      </c>
      <c r="N163" s="4">
        <v>130076.72</v>
      </c>
      <c r="O163">
        <f t="shared" si="4"/>
        <v>0</v>
      </c>
      <c r="P163">
        <f t="shared" si="5"/>
        <v>1</v>
      </c>
    </row>
    <row r="164" spans="1:16">
      <c r="A164" s="4" t="s">
        <v>62</v>
      </c>
      <c r="B164" s="6">
        <v>45717</v>
      </c>
      <c r="C164" s="4" t="s">
        <v>24</v>
      </c>
      <c r="D164" s="4" t="s">
        <v>18</v>
      </c>
      <c r="E164" s="4">
        <v>57143.3</v>
      </c>
      <c r="F164" s="4">
        <v>8038</v>
      </c>
      <c r="G164" s="4">
        <v>0.193</v>
      </c>
      <c r="H164" s="4">
        <v>17</v>
      </c>
      <c r="I164" s="4">
        <v>72.599999999999994</v>
      </c>
      <c r="J164" s="4"/>
      <c r="K164" s="4">
        <v>0</v>
      </c>
      <c r="L164" s="4">
        <v>4.2</v>
      </c>
      <c r="M164" s="4">
        <v>677096.71</v>
      </c>
      <c r="N164" s="4">
        <v>97174.11</v>
      </c>
      <c r="O164">
        <f t="shared" si="4"/>
        <v>0</v>
      </c>
      <c r="P164">
        <f t="shared" si="5"/>
        <v>1</v>
      </c>
    </row>
    <row r="165" spans="1:16">
      <c r="A165" s="4" t="s">
        <v>62</v>
      </c>
      <c r="B165" s="6">
        <v>45748</v>
      </c>
      <c r="C165" s="4" t="s">
        <v>24</v>
      </c>
      <c r="D165" s="4" t="s">
        <v>18</v>
      </c>
      <c r="E165" s="4">
        <v>66870.62</v>
      </c>
      <c r="F165" s="4">
        <v>6055</v>
      </c>
      <c r="G165" s="4">
        <v>7.4999999999999997E-2</v>
      </c>
      <c r="H165" s="4">
        <v>19</v>
      </c>
      <c r="I165" s="4">
        <v>93.8</v>
      </c>
      <c r="J165" s="4">
        <v>0.54</v>
      </c>
      <c r="K165" s="4">
        <v>0</v>
      </c>
      <c r="L165" s="4">
        <v>4.3</v>
      </c>
      <c r="M165" s="4">
        <v>692008.64</v>
      </c>
      <c r="N165" s="4">
        <v>116337.87</v>
      </c>
      <c r="O165">
        <f t="shared" si="4"/>
        <v>0</v>
      </c>
      <c r="P165">
        <f t="shared" si="5"/>
        <v>1</v>
      </c>
    </row>
    <row r="166" spans="1:16">
      <c r="A166" s="4" t="s">
        <v>63</v>
      </c>
      <c r="B166" s="6">
        <v>45658</v>
      </c>
      <c r="C166" s="4" t="s">
        <v>20</v>
      </c>
      <c r="D166" s="4" t="s">
        <v>28</v>
      </c>
      <c r="E166" s="4">
        <v>72150.53</v>
      </c>
      <c r="F166" s="4">
        <v>9323</v>
      </c>
      <c r="G166" s="4">
        <v>0.157</v>
      </c>
      <c r="H166" s="4">
        <v>22</v>
      </c>
      <c r="I166" s="4">
        <v>82.9</v>
      </c>
      <c r="J166" s="4">
        <v>11.37</v>
      </c>
      <c r="K166" s="4">
        <v>1</v>
      </c>
      <c r="L166" s="4">
        <v>4.3</v>
      </c>
      <c r="M166" s="4">
        <v>825797.91</v>
      </c>
      <c r="N166" s="4">
        <v>130945.24</v>
      </c>
      <c r="O166">
        <f t="shared" si="4"/>
        <v>0</v>
      </c>
      <c r="P166">
        <f t="shared" si="5"/>
        <v>0</v>
      </c>
    </row>
    <row r="167" spans="1:16">
      <c r="A167" s="4" t="s">
        <v>63</v>
      </c>
      <c r="B167" s="6">
        <v>45689</v>
      </c>
      <c r="C167" s="4" t="s">
        <v>20</v>
      </c>
      <c r="D167" s="4" t="s">
        <v>28</v>
      </c>
      <c r="E167" s="4">
        <v>35303.300000000003</v>
      </c>
      <c r="F167" s="4">
        <v>8789</v>
      </c>
      <c r="G167" s="4">
        <v>0.123</v>
      </c>
      <c r="H167" s="4">
        <v>22</v>
      </c>
      <c r="I167" s="4">
        <v>86.1</v>
      </c>
      <c r="J167" s="4">
        <v>9.43</v>
      </c>
      <c r="K167" s="4">
        <v>0</v>
      </c>
      <c r="L167" s="4">
        <v>4.2</v>
      </c>
      <c r="M167" s="4">
        <v>706285.52</v>
      </c>
      <c r="N167" s="4">
        <v>138014.72</v>
      </c>
      <c r="O167">
        <f t="shared" si="4"/>
        <v>0</v>
      </c>
      <c r="P167">
        <f t="shared" si="5"/>
        <v>0</v>
      </c>
    </row>
    <row r="168" spans="1:16">
      <c r="A168" s="4" t="s">
        <v>63</v>
      </c>
      <c r="B168" s="6">
        <v>45717</v>
      </c>
      <c r="C168" s="4" t="s">
        <v>20</v>
      </c>
      <c r="D168" s="4" t="s">
        <v>28</v>
      </c>
      <c r="E168" s="4">
        <v>30301.86</v>
      </c>
      <c r="F168" s="4">
        <v>6939</v>
      </c>
      <c r="G168" s="4">
        <v>0.09</v>
      </c>
      <c r="H168" s="4">
        <v>16</v>
      </c>
      <c r="I168" s="4">
        <v>90.3</v>
      </c>
      <c r="J168" s="4">
        <v>3.49</v>
      </c>
      <c r="K168" s="4">
        <v>0</v>
      </c>
      <c r="L168" s="4">
        <v>4</v>
      </c>
      <c r="M168" s="4">
        <v>665534.69999999995</v>
      </c>
      <c r="N168" s="4">
        <v>113167.73</v>
      </c>
      <c r="O168">
        <f t="shared" si="4"/>
        <v>0</v>
      </c>
      <c r="P168">
        <f t="shared" si="5"/>
        <v>0</v>
      </c>
    </row>
    <row r="169" spans="1:16">
      <c r="A169" s="4" t="s">
        <v>63</v>
      </c>
      <c r="B169" s="6">
        <v>45748</v>
      </c>
      <c r="C169" s="4" t="s">
        <v>20</v>
      </c>
      <c r="D169" s="4" t="s">
        <v>28</v>
      </c>
      <c r="E169" s="4">
        <v>78432.14</v>
      </c>
      <c r="F169" s="4">
        <v>9440</v>
      </c>
      <c r="G169" s="4">
        <v>0.126</v>
      </c>
      <c r="H169" s="4">
        <v>23</v>
      </c>
      <c r="I169" s="4">
        <v>89.2</v>
      </c>
      <c r="J169" s="4">
        <v>7.86</v>
      </c>
      <c r="K169" s="4">
        <v>0</v>
      </c>
      <c r="L169" s="4">
        <v>4.0999999999999996</v>
      </c>
      <c r="M169" s="4">
        <v>820729.29</v>
      </c>
      <c r="N169" s="4">
        <v>159325.47</v>
      </c>
      <c r="O169">
        <f t="shared" si="4"/>
        <v>0</v>
      </c>
      <c r="P169">
        <f t="shared" si="5"/>
        <v>0</v>
      </c>
    </row>
    <row r="170" spans="1:16">
      <c r="A170" s="4" t="s">
        <v>64</v>
      </c>
      <c r="B170" s="6">
        <v>45658</v>
      </c>
      <c r="C170" s="4" t="s">
        <v>15</v>
      </c>
      <c r="D170" s="4" t="s">
        <v>16</v>
      </c>
      <c r="E170" s="4">
        <v>62059.18</v>
      </c>
      <c r="F170" s="4">
        <v>9374</v>
      </c>
      <c r="G170" s="4">
        <v>0.13600000000000001</v>
      </c>
      <c r="H170" s="4">
        <v>25</v>
      </c>
      <c r="I170" s="4">
        <v>87.1</v>
      </c>
      <c r="J170" s="4">
        <v>12.55</v>
      </c>
      <c r="K170" s="4">
        <v>0</v>
      </c>
      <c r="L170" s="4">
        <v>4.9000000000000004</v>
      </c>
      <c r="M170" s="4">
        <v>739831.73</v>
      </c>
      <c r="N170" s="4">
        <v>119490.21</v>
      </c>
      <c r="O170">
        <f t="shared" si="4"/>
        <v>1</v>
      </c>
      <c r="P170">
        <f t="shared" si="5"/>
        <v>0</v>
      </c>
    </row>
    <row r="171" spans="1:16">
      <c r="A171" s="4" t="s">
        <v>64</v>
      </c>
      <c r="B171" s="6">
        <v>45689</v>
      </c>
      <c r="C171" s="4" t="s">
        <v>15</v>
      </c>
      <c r="D171" s="4" t="s">
        <v>16</v>
      </c>
      <c r="E171" s="4">
        <v>32834.480000000003</v>
      </c>
      <c r="F171" s="4">
        <v>7576</v>
      </c>
      <c r="G171" s="4">
        <v>9.9000000000000005E-2</v>
      </c>
      <c r="H171" s="4">
        <v>15</v>
      </c>
      <c r="I171" s="4">
        <v>84.1</v>
      </c>
      <c r="J171" s="4">
        <v>3.48</v>
      </c>
      <c r="K171" s="4">
        <v>0</v>
      </c>
      <c r="L171" s="4">
        <v>5</v>
      </c>
      <c r="M171" s="4">
        <v>593637.14</v>
      </c>
      <c r="N171" s="4">
        <v>106648.14</v>
      </c>
      <c r="O171">
        <f t="shared" si="4"/>
        <v>1</v>
      </c>
      <c r="P171">
        <f t="shared" si="5"/>
        <v>0</v>
      </c>
    </row>
    <row r="172" spans="1:16">
      <c r="A172" s="4" t="s">
        <v>64</v>
      </c>
      <c r="B172" s="6">
        <v>45717</v>
      </c>
      <c r="C172" s="4" t="s">
        <v>15</v>
      </c>
      <c r="D172" s="4" t="s">
        <v>16</v>
      </c>
      <c r="E172" s="4">
        <v>50825.08</v>
      </c>
      <c r="F172" s="4">
        <v>8949</v>
      </c>
      <c r="G172" s="4">
        <v>0.157</v>
      </c>
      <c r="H172" s="4">
        <v>21</v>
      </c>
      <c r="I172" s="4">
        <v>84.7</v>
      </c>
      <c r="J172" s="4">
        <v>7.73</v>
      </c>
      <c r="K172" s="4">
        <v>0</v>
      </c>
      <c r="L172" s="4">
        <v>4.9000000000000004</v>
      </c>
      <c r="M172" s="4">
        <v>769702.76</v>
      </c>
      <c r="N172" s="4">
        <v>158697</v>
      </c>
      <c r="O172">
        <f t="shared" si="4"/>
        <v>1</v>
      </c>
      <c r="P172">
        <f t="shared" si="5"/>
        <v>0</v>
      </c>
    </row>
    <row r="173" spans="1:16">
      <c r="A173" s="4" t="s">
        <v>64</v>
      </c>
      <c r="B173" s="6">
        <v>45748</v>
      </c>
      <c r="C173" s="4" t="s">
        <v>15</v>
      </c>
      <c r="D173" s="4" t="s">
        <v>16</v>
      </c>
      <c r="E173" s="4">
        <v>36606.51</v>
      </c>
      <c r="F173" s="4">
        <v>7671</v>
      </c>
      <c r="G173" s="4">
        <v>0.11799999999999999</v>
      </c>
      <c r="H173" s="4">
        <v>18</v>
      </c>
      <c r="I173" s="4">
        <v>89.8</v>
      </c>
      <c r="J173" s="4">
        <v>0.25</v>
      </c>
      <c r="K173" s="4">
        <v>0</v>
      </c>
      <c r="L173" s="4">
        <v>4.4000000000000004</v>
      </c>
      <c r="M173" s="4">
        <v>679731.57</v>
      </c>
      <c r="N173" s="4">
        <v>121546.42</v>
      </c>
      <c r="O173">
        <f t="shared" si="4"/>
        <v>1</v>
      </c>
      <c r="P173">
        <f t="shared" si="5"/>
        <v>0</v>
      </c>
    </row>
    <row r="174" spans="1:16">
      <c r="A174" s="4" t="s">
        <v>65</v>
      </c>
      <c r="B174" s="6">
        <v>45658</v>
      </c>
      <c r="C174" s="4" t="s">
        <v>15</v>
      </c>
      <c r="D174" s="4" t="s">
        <v>16</v>
      </c>
      <c r="E174" s="4">
        <v>65237.79</v>
      </c>
      <c r="F174" s="4">
        <v>8741</v>
      </c>
      <c r="G174" s="4">
        <v>0.157</v>
      </c>
      <c r="H174" s="4">
        <v>20</v>
      </c>
      <c r="I174" s="4">
        <v>94.4</v>
      </c>
      <c r="J174" s="4">
        <v>6.43</v>
      </c>
      <c r="K174" s="4">
        <v>0</v>
      </c>
      <c r="L174" s="4">
        <v>3.3</v>
      </c>
      <c r="M174" s="4">
        <v>780344.18</v>
      </c>
      <c r="N174" s="4">
        <v>118239.09</v>
      </c>
      <c r="O174">
        <f t="shared" si="4"/>
        <v>1</v>
      </c>
      <c r="P174">
        <f t="shared" si="5"/>
        <v>0</v>
      </c>
    </row>
    <row r="175" spans="1:16">
      <c r="A175" s="4" t="s">
        <v>65</v>
      </c>
      <c r="B175" s="6">
        <v>45689</v>
      </c>
      <c r="C175" s="4" t="s">
        <v>15</v>
      </c>
      <c r="D175" s="4" t="s">
        <v>16</v>
      </c>
      <c r="E175" s="4">
        <v>43645.98</v>
      </c>
      <c r="F175" s="4">
        <v>9480</v>
      </c>
      <c r="G175" s="4">
        <v>0.109</v>
      </c>
      <c r="H175" s="4">
        <v>22</v>
      </c>
      <c r="I175" s="4">
        <v>89</v>
      </c>
      <c r="J175" s="4">
        <v>2.11</v>
      </c>
      <c r="K175" s="4">
        <v>0</v>
      </c>
      <c r="L175" s="4">
        <v>3.1</v>
      </c>
      <c r="M175" s="4">
        <v>721364.11</v>
      </c>
      <c r="N175" s="4">
        <v>147272.81</v>
      </c>
      <c r="O175">
        <f t="shared" si="4"/>
        <v>1</v>
      </c>
      <c r="P175">
        <f t="shared" si="5"/>
        <v>0</v>
      </c>
    </row>
    <row r="176" spans="1:16">
      <c r="A176" s="4" t="s">
        <v>65</v>
      </c>
      <c r="B176" s="6">
        <v>45717</v>
      </c>
      <c r="C176" s="4" t="s">
        <v>15</v>
      </c>
      <c r="D176" s="4" t="s">
        <v>16</v>
      </c>
      <c r="E176" s="4">
        <v>68040.149999999994</v>
      </c>
      <c r="F176" s="4">
        <v>9826</v>
      </c>
      <c r="G176" s="4">
        <v>0.125</v>
      </c>
      <c r="H176" s="4">
        <v>20</v>
      </c>
      <c r="I176" s="4">
        <v>83.9</v>
      </c>
      <c r="J176" s="4">
        <v>9.1199999999999992</v>
      </c>
      <c r="K176" s="4">
        <v>0</v>
      </c>
      <c r="L176" s="4">
        <v>3.6</v>
      </c>
      <c r="M176" s="4">
        <v>758138.29</v>
      </c>
      <c r="N176" s="4">
        <v>132975.26</v>
      </c>
      <c r="O176">
        <f t="shared" si="4"/>
        <v>1</v>
      </c>
      <c r="P176">
        <f t="shared" si="5"/>
        <v>0</v>
      </c>
    </row>
    <row r="177" spans="1:16">
      <c r="A177" s="4" t="s">
        <v>65</v>
      </c>
      <c r="B177" s="6">
        <v>45748</v>
      </c>
      <c r="C177" s="4" t="s">
        <v>15</v>
      </c>
      <c r="D177" s="4" t="s">
        <v>16</v>
      </c>
      <c r="E177" s="4">
        <v>63043.94</v>
      </c>
      <c r="F177" s="4">
        <v>10402</v>
      </c>
      <c r="G177" s="4">
        <v>0.159</v>
      </c>
      <c r="H177" s="4">
        <v>23</v>
      </c>
      <c r="I177" s="4">
        <v>93.9</v>
      </c>
      <c r="J177" s="4">
        <v>2.71</v>
      </c>
      <c r="K177" s="4">
        <v>0</v>
      </c>
      <c r="L177" s="4">
        <v>3.1</v>
      </c>
      <c r="M177" s="4">
        <v>804264</v>
      </c>
      <c r="N177" s="4">
        <v>167117.91</v>
      </c>
      <c r="O177">
        <f t="shared" si="4"/>
        <v>1</v>
      </c>
      <c r="P177">
        <f t="shared" si="5"/>
        <v>0</v>
      </c>
    </row>
    <row r="178" spans="1:16">
      <c r="A178" s="4" t="s">
        <v>66</v>
      </c>
      <c r="B178" s="6">
        <v>45658</v>
      </c>
      <c r="C178" s="4" t="s">
        <v>27</v>
      </c>
      <c r="D178" s="4" t="s">
        <v>21</v>
      </c>
      <c r="E178" s="4">
        <v>67494.09</v>
      </c>
      <c r="F178" s="4">
        <v>12361</v>
      </c>
      <c r="G178" s="4">
        <v>4.5999999999999999E-2</v>
      </c>
      <c r="H178" s="4">
        <v>24</v>
      </c>
      <c r="I178" s="4">
        <v>76.599999999999994</v>
      </c>
      <c r="J178" s="4">
        <v>3.65</v>
      </c>
      <c r="K178" s="4">
        <v>1</v>
      </c>
      <c r="L178" s="4">
        <v>3.7</v>
      </c>
      <c r="M178" s="4">
        <v>887537.75</v>
      </c>
      <c r="N178" s="4">
        <v>160362.92000000001</v>
      </c>
      <c r="O178">
        <f t="shared" si="4"/>
        <v>0</v>
      </c>
      <c r="P178">
        <f t="shared" si="5"/>
        <v>0</v>
      </c>
    </row>
    <row r="179" spans="1:16">
      <c r="A179" s="4" t="s">
        <v>66</v>
      </c>
      <c r="B179" s="6">
        <v>45689</v>
      </c>
      <c r="C179" s="4" t="s">
        <v>27</v>
      </c>
      <c r="D179" s="4" t="s">
        <v>21</v>
      </c>
      <c r="E179" s="4">
        <v>29389.32</v>
      </c>
      <c r="F179" s="4">
        <v>7925</v>
      </c>
      <c r="G179" s="4">
        <v>0.17699999999999999</v>
      </c>
      <c r="H179" s="4">
        <v>21</v>
      </c>
      <c r="I179" s="4">
        <v>90.9</v>
      </c>
      <c r="J179" s="4">
        <v>7.86</v>
      </c>
      <c r="K179" s="4">
        <v>0</v>
      </c>
      <c r="L179" s="4">
        <v>4</v>
      </c>
      <c r="M179" s="4">
        <v>783582</v>
      </c>
      <c r="N179" s="4">
        <v>130670.93</v>
      </c>
      <c r="O179">
        <f t="shared" si="4"/>
        <v>0</v>
      </c>
      <c r="P179">
        <f t="shared" si="5"/>
        <v>0</v>
      </c>
    </row>
    <row r="180" spans="1:16">
      <c r="A180" s="4" t="s">
        <v>66</v>
      </c>
      <c r="B180" s="6">
        <v>45717</v>
      </c>
      <c r="C180" s="4" t="s">
        <v>27</v>
      </c>
      <c r="D180" s="4" t="s">
        <v>21</v>
      </c>
      <c r="E180" s="4">
        <v>40535.089999999997</v>
      </c>
      <c r="F180" s="4">
        <v>8870</v>
      </c>
      <c r="G180" s="4">
        <v>4.1000000000000002E-2</v>
      </c>
      <c r="H180" s="4">
        <v>21</v>
      </c>
      <c r="I180" s="4">
        <v>86.6</v>
      </c>
      <c r="J180" s="4">
        <v>0.3</v>
      </c>
      <c r="K180" s="4">
        <v>0</v>
      </c>
      <c r="L180" s="4">
        <v>4.0999999999999996</v>
      </c>
      <c r="M180" s="4">
        <v>781955.52</v>
      </c>
      <c r="N180" s="4">
        <v>152578.71</v>
      </c>
      <c r="O180">
        <f t="shared" si="4"/>
        <v>0</v>
      </c>
      <c r="P180">
        <f t="shared" si="5"/>
        <v>0</v>
      </c>
    </row>
    <row r="181" spans="1:16">
      <c r="A181" s="4" t="s">
        <v>66</v>
      </c>
      <c r="B181" s="6">
        <v>45748</v>
      </c>
      <c r="C181" s="4" t="s">
        <v>27</v>
      </c>
      <c r="D181" s="4" t="s">
        <v>21</v>
      </c>
      <c r="E181" s="4">
        <v>74881.56</v>
      </c>
      <c r="F181" s="4">
        <v>9999</v>
      </c>
      <c r="G181" s="4">
        <v>1.2999999999999999E-2</v>
      </c>
      <c r="H181" s="4">
        <v>20</v>
      </c>
      <c r="I181" s="4">
        <v>89.6</v>
      </c>
      <c r="J181" s="4">
        <v>8.44</v>
      </c>
      <c r="K181" s="4">
        <v>0</v>
      </c>
      <c r="L181" s="4">
        <v>4.0999999999999996</v>
      </c>
      <c r="M181" s="4">
        <v>898031.04</v>
      </c>
      <c r="N181" s="4">
        <v>138666.5</v>
      </c>
      <c r="O181">
        <f t="shared" si="4"/>
        <v>0</v>
      </c>
      <c r="P181">
        <f t="shared" si="5"/>
        <v>0</v>
      </c>
    </row>
    <row r="182" spans="1:16">
      <c r="A182" s="4" t="s">
        <v>67</v>
      </c>
      <c r="B182" s="6">
        <v>45658</v>
      </c>
      <c r="C182" s="4" t="s">
        <v>27</v>
      </c>
      <c r="D182" s="4" t="s">
        <v>16</v>
      </c>
      <c r="E182" s="4">
        <v>68491.11</v>
      </c>
      <c r="F182" s="4">
        <v>11154</v>
      </c>
      <c r="G182" s="4">
        <v>1E-3</v>
      </c>
      <c r="H182" s="4">
        <v>24</v>
      </c>
      <c r="I182" s="4">
        <v>89.4</v>
      </c>
      <c r="J182" s="4">
        <v>5.27</v>
      </c>
      <c r="K182" s="4">
        <v>1</v>
      </c>
      <c r="L182" s="4">
        <v>3.9</v>
      </c>
      <c r="M182" s="4">
        <v>855341.28</v>
      </c>
      <c r="N182" s="4">
        <v>175823.8</v>
      </c>
      <c r="O182">
        <f t="shared" si="4"/>
        <v>1</v>
      </c>
      <c r="P182">
        <f t="shared" si="5"/>
        <v>0</v>
      </c>
    </row>
    <row r="183" spans="1:16">
      <c r="A183" s="4" t="s">
        <v>67</v>
      </c>
      <c r="B183" s="6">
        <v>45689</v>
      </c>
      <c r="C183" s="4" t="s">
        <v>27</v>
      </c>
      <c r="D183" s="4" t="s">
        <v>16</v>
      </c>
      <c r="E183" s="4">
        <v>45209.25</v>
      </c>
      <c r="F183" s="4">
        <v>9287</v>
      </c>
      <c r="G183" s="4">
        <v>0.14099999999999999</v>
      </c>
      <c r="H183" s="4">
        <v>22</v>
      </c>
      <c r="I183" s="4">
        <v>86.4</v>
      </c>
      <c r="J183" s="4">
        <v>13.22</v>
      </c>
      <c r="K183" s="4">
        <v>0</v>
      </c>
      <c r="L183" s="4">
        <v>3.6</v>
      </c>
      <c r="M183" s="4">
        <v>751393.88</v>
      </c>
      <c r="N183" s="4">
        <v>91480.320000000007</v>
      </c>
      <c r="O183">
        <f t="shared" si="4"/>
        <v>1</v>
      </c>
      <c r="P183">
        <f t="shared" si="5"/>
        <v>0</v>
      </c>
    </row>
    <row r="184" spans="1:16">
      <c r="A184" s="4" t="s">
        <v>67</v>
      </c>
      <c r="B184" s="6">
        <v>45717</v>
      </c>
      <c r="C184" s="4" t="s">
        <v>27</v>
      </c>
      <c r="D184" s="4" t="s">
        <v>16</v>
      </c>
      <c r="E184" s="4">
        <v>63010.23</v>
      </c>
      <c r="F184" s="4">
        <v>9812</v>
      </c>
      <c r="G184" s="4">
        <v>0.113</v>
      </c>
      <c r="H184" s="4">
        <v>24</v>
      </c>
      <c r="I184" s="4">
        <v>76.8</v>
      </c>
      <c r="J184" s="4">
        <v>1.02</v>
      </c>
      <c r="K184" s="4">
        <v>1</v>
      </c>
      <c r="L184" s="4">
        <v>3.8</v>
      </c>
      <c r="M184" s="4">
        <v>761077.08</v>
      </c>
      <c r="N184" s="4">
        <v>113605.93</v>
      </c>
      <c r="O184">
        <f t="shared" si="4"/>
        <v>1</v>
      </c>
      <c r="P184">
        <f t="shared" si="5"/>
        <v>0</v>
      </c>
    </row>
    <row r="185" spans="1:16">
      <c r="A185" s="4" t="s">
        <v>67</v>
      </c>
      <c r="B185" s="6">
        <v>45748</v>
      </c>
      <c r="C185" s="4" t="s">
        <v>27</v>
      </c>
      <c r="D185" s="4" t="s">
        <v>16</v>
      </c>
      <c r="E185" s="4">
        <v>57948.88</v>
      </c>
      <c r="F185" s="4">
        <v>10741</v>
      </c>
      <c r="G185" s="4">
        <v>7.0000000000000007E-2</v>
      </c>
      <c r="H185" s="4">
        <v>25</v>
      </c>
      <c r="I185" s="4">
        <v>90.1</v>
      </c>
      <c r="J185" s="4">
        <v>4.03</v>
      </c>
      <c r="K185" s="4">
        <v>0</v>
      </c>
      <c r="L185" s="4">
        <v>3.1</v>
      </c>
      <c r="M185" s="4">
        <v>819660.59</v>
      </c>
      <c r="N185" s="4">
        <v>172699.95</v>
      </c>
      <c r="O185">
        <f t="shared" si="4"/>
        <v>1</v>
      </c>
      <c r="P185">
        <f t="shared" si="5"/>
        <v>0</v>
      </c>
    </row>
    <row r="186" spans="1:16">
      <c r="A186" s="4" t="s">
        <v>68</v>
      </c>
      <c r="B186" s="6">
        <v>45658</v>
      </c>
      <c r="C186" s="4" t="s">
        <v>20</v>
      </c>
      <c r="D186" s="4" t="s">
        <v>18</v>
      </c>
      <c r="E186" s="4">
        <v>71941.62</v>
      </c>
      <c r="F186" s="4">
        <v>6084</v>
      </c>
      <c r="G186" s="4">
        <v>7.1999999999999995E-2</v>
      </c>
      <c r="H186" s="4">
        <v>13</v>
      </c>
      <c r="I186" s="4">
        <v>93.7</v>
      </c>
      <c r="J186" s="4">
        <v>2.34</v>
      </c>
      <c r="K186" s="4">
        <v>0</v>
      </c>
      <c r="L186" s="4">
        <v>4.4000000000000004</v>
      </c>
      <c r="M186" s="4">
        <v>681855.56</v>
      </c>
      <c r="N186" s="4">
        <v>117645.61</v>
      </c>
      <c r="O186">
        <f t="shared" si="4"/>
        <v>0</v>
      </c>
      <c r="P186">
        <f t="shared" si="5"/>
        <v>1</v>
      </c>
    </row>
    <row r="187" spans="1:16">
      <c r="A187" s="4" t="s">
        <v>68</v>
      </c>
      <c r="B187" s="6">
        <v>45689</v>
      </c>
      <c r="C187" s="4" t="s">
        <v>20</v>
      </c>
      <c r="D187" s="4" t="s">
        <v>18</v>
      </c>
      <c r="E187" s="4">
        <v>57147.88</v>
      </c>
      <c r="F187" s="4">
        <v>5252</v>
      </c>
      <c r="G187" s="4">
        <v>0.161</v>
      </c>
      <c r="H187" s="4">
        <v>15</v>
      </c>
      <c r="I187" s="4">
        <v>95.5</v>
      </c>
      <c r="J187" s="4">
        <v>8.51</v>
      </c>
      <c r="K187" s="4">
        <v>0</v>
      </c>
      <c r="L187" s="4">
        <v>4.4000000000000004</v>
      </c>
      <c r="M187" s="4">
        <v>678311.17</v>
      </c>
      <c r="N187" s="4">
        <v>132029.76000000001</v>
      </c>
      <c r="O187">
        <f t="shared" si="4"/>
        <v>0</v>
      </c>
      <c r="P187">
        <f t="shared" si="5"/>
        <v>1</v>
      </c>
    </row>
    <row r="188" spans="1:16">
      <c r="A188" s="4" t="s">
        <v>68</v>
      </c>
      <c r="B188" s="6">
        <v>45717</v>
      </c>
      <c r="C188" s="4" t="s">
        <v>20</v>
      </c>
      <c r="D188" s="4" t="s">
        <v>18</v>
      </c>
      <c r="E188" s="4">
        <v>48031.74</v>
      </c>
      <c r="F188" s="4">
        <v>6516</v>
      </c>
      <c r="G188" s="4">
        <v>6.7000000000000004E-2</v>
      </c>
      <c r="H188" s="4">
        <v>14</v>
      </c>
      <c r="I188" s="4">
        <v>99</v>
      </c>
      <c r="J188" s="4">
        <v>0.48</v>
      </c>
      <c r="K188" s="4">
        <v>1</v>
      </c>
      <c r="L188" s="4">
        <v>4.3</v>
      </c>
      <c r="M188" s="4">
        <v>765906.95</v>
      </c>
      <c r="N188" s="4">
        <v>114005.9</v>
      </c>
      <c r="O188">
        <f t="shared" si="4"/>
        <v>0</v>
      </c>
      <c r="P188">
        <f t="shared" si="5"/>
        <v>1</v>
      </c>
    </row>
    <row r="189" spans="1:16">
      <c r="A189" s="4" t="s">
        <v>68</v>
      </c>
      <c r="B189" s="6">
        <v>45748</v>
      </c>
      <c r="C189" s="4" t="s">
        <v>20</v>
      </c>
      <c r="D189" s="4" t="s">
        <v>18</v>
      </c>
      <c r="E189" s="4">
        <v>72784.800000000003</v>
      </c>
      <c r="F189" s="4">
        <v>7932</v>
      </c>
      <c r="G189" s="4">
        <v>9.4E-2</v>
      </c>
      <c r="H189" s="4">
        <v>20</v>
      </c>
      <c r="I189" s="4">
        <v>74.900000000000006</v>
      </c>
      <c r="J189" s="4">
        <v>13.62</v>
      </c>
      <c r="K189" s="4">
        <v>0</v>
      </c>
      <c r="L189" s="4">
        <v>4.2</v>
      </c>
      <c r="M189" s="4">
        <v>712546.38</v>
      </c>
      <c r="N189" s="4">
        <v>101480.04</v>
      </c>
      <c r="O189">
        <f t="shared" si="4"/>
        <v>0</v>
      </c>
      <c r="P189">
        <f t="shared" si="5"/>
        <v>1</v>
      </c>
    </row>
    <row r="190" spans="1:16">
      <c r="A190" s="4" t="s">
        <v>69</v>
      </c>
      <c r="B190" s="6">
        <v>45658</v>
      </c>
      <c r="C190" s="4" t="s">
        <v>15</v>
      </c>
      <c r="D190" s="4" t="s">
        <v>18</v>
      </c>
      <c r="E190" s="4">
        <v>71641.899999999994</v>
      </c>
      <c r="F190" s="4">
        <v>3506</v>
      </c>
      <c r="G190" s="4">
        <v>0</v>
      </c>
      <c r="H190" s="4">
        <v>11</v>
      </c>
      <c r="I190" s="4">
        <v>86.4</v>
      </c>
      <c r="J190" s="4">
        <v>7.77</v>
      </c>
      <c r="K190" s="4">
        <v>0</v>
      </c>
      <c r="L190" s="4">
        <v>4.0999999999999996</v>
      </c>
      <c r="M190" s="4">
        <v>625993.82999999996</v>
      </c>
      <c r="N190" s="4">
        <v>98960.320000000007</v>
      </c>
      <c r="O190">
        <f t="shared" si="4"/>
        <v>0</v>
      </c>
      <c r="P190">
        <f t="shared" si="5"/>
        <v>1</v>
      </c>
    </row>
    <row r="191" spans="1:16">
      <c r="A191" s="4" t="s">
        <v>69</v>
      </c>
      <c r="B191" s="6">
        <v>45689</v>
      </c>
      <c r="C191" s="4" t="s">
        <v>15</v>
      </c>
      <c r="D191" s="4" t="s">
        <v>18</v>
      </c>
      <c r="E191" s="4">
        <v>55788.61</v>
      </c>
      <c r="F191" s="4">
        <v>2312</v>
      </c>
      <c r="G191" s="4">
        <v>5.8000000000000003E-2</v>
      </c>
      <c r="H191" s="4">
        <v>10</v>
      </c>
      <c r="I191" s="4">
        <v>91.3</v>
      </c>
      <c r="J191" s="4">
        <v>1.99</v>
      </c>
      <c r="K191" s="4">
        <v>0</v>
      </c>
      <c r="L191" s="4">
        <v>3.8</v>
      </c>
      <c r="M191" s="4">
        <v>550962.93000000005</v>
      </c>
      <c r="N191" s="4">
        <v>97144.58</v>
      </c>
      <c r="O191">
        <f t="shared" si="4"/>
        <v>0</v>
      </c>
      <c r="P191">
        <f t="shared" si="5"/>
        <v>1</v>
      </c>
    </row>
    <row r="192" spans="1:16">
      <c r="A192" s="4" t="s">
        <v>69</v>
      </c>
      <c r="B192" s="6">
        <v>45717</v>
      </c>
      <c r="C192" s="4" t="s">
        <v>15</v>
      </c>
      <c r="D192" s="4" t="s">
        <v>18</v>
      </c>
      <c r="E192" s="4">
        <v>37705.879999999997</v>
      </c>
      <c r="F192" s="4">
        <v>1268</v>
      </c>
      <c r="G192" s="4">
        <v>0.25900000000000001</v>
      </c>
      <c r="H192" s="4">
        <v>9</v>
      </c>
      <c r="I192" s="4">
        <v>84.1</v>
      </c>
      <c r="J192" s="4">
        <v>4.7699999999999996</v>
      </c>
      <c r="K192" s="4">
        <v>0</v>
      </c>
      <c r="L192" s="4">
        <v>3.8</v>
      </c>
      <c r="M192" s="4">
        <v>443275.59</v>
      </c>
      <c r="N192" s="4">
        <v>53544.36</v>
      </c>
      <c r="O192">
        <f t="shared" si="4"/>
        <v>0</v>
      </c>
      <c r="P192">
        <f t="shared" si="5"/>
        <v>1</v>
      </c>
    </row>
    <row r="193" spans="1:16">
      <c r="A193" s="4" t="s">
        <v>69</v>
      </c>
      <c r="B193" s="6">
        <v>45748</v>
      </c>
      <c r="C193" s="4" t="s">
        <v>15</v>
      </c>
      <c r="D193" s="4" t="s">
        <v>18</v>
      </c>
      <c r="E193" s="4">
        <v>54966.18</v>
      </c>
      <c r="F193" s="4">
        <v>4423</v>
      </c>
      <c r="G193" s="4">
        <v>0.186</v>
      </c>
      <c r="H193" s="4">
        <v>13</v>
      </c>
      <c r="I193" s="4">
        <v>88.7</v>
      </c>
      <c r="J193" s="4">
        <v>0.2</v>
      </c>
      <c r="K193" s="4">
        <v>0</v>
      </c>
      <c r="L193" s="4">
        <v>4.4000000000000004</v>
      </c>
      <c r="M193" s="4">
        <v>554012.06999999995</v>
      </c>
      <c r="N193" s="4">
        <v>81101.62</v>
      </c>
      <c r="O193">
        <f t="shared" si="4"/>
        <v>0</v>
      </c>
      <c r="P193">
        <f t="shared" si="5"/>
        <v>1</v>
      </c>
    </row>
    <row r="194" spans="1:16">
      <c r="A194" s="4" t="s">
        <v>70</v>
      </c>
      <c r="B194" s="6">
        <v>45658</v>
      </c>
      <c r="C194" s="4" t="s">
        <v>27</v>
      </c>
      <c r="D194" s="4" t="s">
        <v>16</v>
      </c>
      <c r="E194" s="4">
        <v>81796.740000000005</v>
      </c>
      <c r="F194" s="4">
        <v>6177</v>
      </c>
      <c r="G194" s="4">
        <v>0.16400000000000001</v>
      </c>
      <c r="H194" s="4">
        <v>14</v>
      </c>
      <c r="I194" s="4">
        <v>87.9</v>
      </c>
      <c r="J194" s="4">
        <v>0.53</v>
      </c>
      <c r="K194" s="4">
        <v>0</v>
      </c>
      <c r="L194" s="4">
        <v>3.2</v>
      </c>
      <c r="M194" s="4">
        <v>643428.85</v>
      </c>
      <c r="N194" s="4">
        <v>94477.63</v>
      </c>
      <c r="O194">
        <f t="shared" si="4"/>
        <v>1</v>
      </c>
      <c r="P194">
        <f t="shared" si="5"/>
        <v>0</v>
      </c>
    </row>
    <row r="195" spans="1:16">
      <c r="A195" s="4" t="s">
        <v>70</v>
      </c>
      <c r="B195" s="6">
        <v>45689</v>
      </c>
      <c r="C195" s="4" t="s">
        <v>27</v>
      </c>
      <c r="D195" s="4" t="s">
        <v>16</v>
      </c>
      <c r="E195" s="4">
        <v>51133.43</v>
      </c>
      <c r="F195" s="4">
        <v>5150</v>
      </c>
      <c r="G195" s="4">
        <v>0.15</v>
      </c>
      <c r="H195" s="4">
        <v>12</v>
      </c>
      <c r="I195" s="4">
        <v>88.5</v>
      </c>
      <c r="J195" s="4">
        <v>1.54</v>
      </c>
      <c r="K195" s="4">
        <v>0</v>
      </c>
      <c r="L195" s="4">
        <v>3.2</v>
      </c>
      <c r="M195" s="4">
        <v>611924.27</v>
      </c>
      <c r="N195" s="4">
        <v>115488.75</v>
      </c>
      <c r="O195">
        <f t="shared" ref="O195:O258" si="6">IF(D195="Residential",1,0)</f>
        <v>1</v>
      </c>
      <c r="P195">
        <f t="shared" ref="P195:P258" si="7">IF(D195="High Street",1,0)</f>
        <v>0</v>
      </c>
    </row>
    <row r="196" spans="1:16">
      <c r="A196" s="4" t="s">
        <v>70</v>
      </c>
      <c r="B196" s="6">
        <v>45717</v>
      </c>
      <c r="C196" s="4" t="s">
        <v>27</v>
      </c>
      <c r="D196" s="4" t="s">
        <v>16</v>
      </c>
      <c r="E196" s="4">
        <v>40220.18</v>
      </c>
      <c r="F196" s="4">
        <v>3783</v>
      </c>
      <c r="G196" s="4">
        <v>8.8999999999999996E-2</v>
      </c>
      <c r="H196" s="4">
        <v>14</v>
      </c>
      <c r="I196" s="4">
        <v>86.6</v>
      </c>
      <c r="J196" s="4">
        <v>3.63</v>
      </c>
      <c r="K196" s="4">
        <v>0</v>
      </c>
      <c r="L196" s="4">
        <v>3.7</v>
      </c>
      <c r="M196" s="4">
        <v>559422.02</v>
      </c>
      <c r="N196" s="4">
        <v>73528.740000000005</v>
      </c>
      <c r="O196">
        <f t="shared" si="6"/>
        <v>1</v>
      </c>
      <c r="P196">
        <f t="shared" si="7"/>
        <v>0</v>
      </c>
    </row>
    <row r="197" spans="1:16">
      <c r="A197" s="4" t="s">
        <v>70</v>
      </c>
      <c r="B197" s="6">
        <v>45748</v>
      </c>
      <c r="C197" s="4" t="s">
        <v>27</v>
      </c>
      <c r="D197" s="4" t="s">
        <v>16</v>
      </c>
      <c r="E197" s="4">
        <v>41657.64</v>
      </c>
      <c r="F197" s="4">
        <v>3135</v>
      </c>
      <c r="G197" s="4">
        <v>0.22900000000000001</v>
      </c>
      <c r="H197" s="4">
        <v>7</v>
      </c>
      <c r="I197" s="4">
        <v>85.4</v>
      </c>
      <c r="J197" s="4">
        <v>13.48</v>
      </c>
      <c r="K197" s="4">
        <v>0</v>
      </c>
      <c r="L197" s="4"/>
      <c r="M197" s="4">
        <v>449465.06</v>
      </c>
      <c r="N197" s="4">
        <v>65694.78</v>
      </c>
      <c r="O197">
        <f t="shared" si="6"/>
        <v>1</v>
      </c>
      <c r="P197">
        <f t="shared" si="7"/>
        <v>0</v>
      </c>
    </row>
    <row r="198" spans="1:16">
      <c r="A198" s="4" t="s">
        <v>71</v>
      </c>
      <c r="B198" s="6">
        <v>45658</v>
      </c>
      <c r="C198" s="4" t="s">
        <v>20</v>
      </c>
      <c r="D198" s="4" t="s">
        <v>16</v>
      </c>
      <c r="E198" s="4">
        <v>71851.45</v>
      </c>
      <c r="F198" s="4">
        <v>4970</v>
      </c>
      <c r="G198" s="4">
        <v>9.8000000000000004E-2</v>
      </c>
      <c r="H198" s="4">
        <v>11</v>
      </c>
      <c r="I198" s="4">
        <v>89.6</v>
      </c>
      <c r="J198" s="4">
        <v>0.2</v>
      </c>
      <c r="K198" s="4">
        <v>0</v>
      </c>
      <c r="L198" s="4">
        <v>4.2</v>
      </c>
      <c r="M198" s="4">
        <v>691447.43</v>
      </c>
      <c r="N198" s="4">
        <v>114077.69</v>
      </c>
      <c r="O198">
        <f t="shared" si="6"/>
        <v>1</v>
      </c>
      <c r="P198">
        <f t="shared" si="7"/>
        <v>0</v>
      </c>
    </row>
    <row r="199" spans="1:16">
      <c r="A199" s="4" t="s">
        <v>71</v>
      </c>
      <c r="B199" s="6">
        <v>45689</v>
      </c>
      <c r="C199" s="4" t="s">
        <v>20</v>
      </c>
      <c r="D199" s="4" t="s">
        <v>16</v>
      </c>
      <c r="E199" s="4">
        <v>54002.83</v>
      </c>
      <c r="F199" s="4">
        <v>4366</v>
      </c>
      <c r="G199" s="4">
        <v>2.7E-2</v>
      </c>
      <c r="H199" s="4">
        <v>15</v>
      </c>
      <c r="I199" s="4">
        <v>90.6</v>
      </c>
      <c r="J199" s="4">
        <v>12.82</v>
      </c>
      <c r="K199" s="4">
        <v>0</v>
      </c>
      <c r="L199" s="4">
        <v>4.5999999999999996</v>
      </c>
      <c r="M199" s="4">
        <v>574066.61</v>
      </c>
      <c r="N199" s="4">
        <v>124674.67</v>
      </c>
      <c r="O199">
        <f t="shared" si="6"/>
        <v>1</v>
      </c>
      <c r="P199">
        <f t="shared" si="7"/>
        <v>0</v>
      </c>
    </row>
    <row r="200" spans="1:16">
      <c r="A200" s="4" t="s">
        <v>71</v>
      </c>
      <c r="B200" s="6">
        <v>45717</v>
      </c>
      <c r="C200" s="4" t="s">
        <v>20</v>
      </c>
      <c r="D200" s="4" t="s">
        <v>16</v>
      </c>
      <c r="E200" s="4">
        <v>54479.33</v>
      </c>
      <c r="F200" s="4">
        <v>5012</v>
      </c>
      <c r="G200" s="4">
        <v>0.28399999999999997</v>
      </c>
      <c r="H200" s="4">
        <v>13</v>
      </c>
      <c r="I200" s="4">
        <v>86</v>
      </c>
      <c r="J200" s="4">
        <v>2.2400000000000002</v>
      </c>
      <c r="K200" s="4">
        <v>1</v>
      </c>
      <c r="L200" s="4">
        <v>4.3</v>
      </c>
      <c r="M200" s="4">
        <v>578949.84</v>
      </c>
      <c r="N200" s="4">
        <v>80253.649999999994</v>
      </c>
      <c r="O200">
        <f t="shared" si="6"/>
        <v>1</v>
      </c>
      <c r="P200">
        <f t="shared" si="7"/>
        <v>0</v>
      </c>
    </row>
    <row r="201" spans="1:16">
      <c r="A201" s="4" t="s">
        <v>71</v>
      </c>
      <c r="B201" s="6">
        <v>45748</v>
      </c>
      <c r="C201" s="4" t="s">
        <v>20</v>
      </c>
      <c r="D201" s="4" t="s">
        <v>16</v>
      </c>
      <c r="E201" s="4">
        <v>61391.8</v>
      </c>
      <c r="F201" s="4">
        <v>5575</v>
      </c>
      <c r="G201" s="4">
        <v>0.189</v>
      </c>
      <c r="H201" s="4">
        <v>18</v>
      </c>
      <c r="I201" s="4">
        <v>90</v>
      </c>
      <c r="J201" s="4">
        <v>1.8</v>
      </c>
      <c r="K201" s="4">
        <v>0</v>
      </c>
      <c r="L201" s="4">
        <v>4.8</v>
      </c>
      <c r="M201" s="4">
        <v>735786.64</v>
      </c>
      <c r="N201" s="4">
        <v>126540.66</v>
      </c>
      <c r="O201">
        <f t="shared" si="6"/>
        <v>1</v>
      </c>
      <c r="P201">
        <f t="shared" si="7"/>
        <v>0</v>
      </c>
    </row>
    <row r="202" spans="1:16">
      <c r="A202" s="4" t="s">
        <v>72</v>
      </c>
      <c r="B202" s="6">
        <v>45658</v>
      </c>
      <c r="C202" s="4" t="s">
        <v>15</v>
      </c>
      <c r="D202" s="4" t="s">
        <v>21</v>
      </c>
      <c r="E202" s="4">
        <v>22312.93</v>
      </c>
      <c r="F202" s="4">
        <v>5955</v>
      </c>
      <c r="G202" s="4">
        <v>0.123</v>
      </c>
      <c r="H202" s="4">
        <v>13</v>
      </c>
      <c r="I202" s="4">
        <v>84.2</v>
      </c>
      <c r="J202" s="4">
        <v>0.41</v>
      </c>
      <c r="K202" s="4">
        <v>1</v>
      </c>
      <c r="L202" s="4">
        <v>4.5999999999999996</v>
      </c>
      <c r="M202" s="4">
        <v>598904.9</v>
      </c>
      <c r="N202" s="4">
        <v>72861</v>
      </c>
      <c r="O202">
        <f t="shared" si="6"/>
        <v>0</v>
      </c>
      <c r="P202">
        <f t="shared" si="7"/>
        <v>0</v>
      </c>
    </row>
    <row r="203" spans="1:16">
      <c r="A203" s="4" t="s">
        <v>72</v>
      </c>
      <c r="B203" s="6">
        <v>45689</v>
      </c>
      <c r="C203" s="4" t="s">
        <v>15</v>
      </c>
      <c r="D203" s="4" t="s">
        <v>21</v>
      </c>
      <c r="E203" s="4">
        <v>78111.97</v>
      </c>
      <c r="F203" s="4">
        <v>6389</v>
      </c>
      <c r="G203" s="4">
        <v>0.15</v>
      </c>
      <c r="H203" s="4">
        <v>13</v>
      </c>
      <c r="I203" s="4">
        <v>83.9</v>
      </c>
      <c r="J203" s="4">
        <v>3.05</v>
      </c>
      <c r="K203" s="4">
        <v>0</v>
      </c>
      <c r="L203" s="4">
        <v>4.8</v>
      </c>
      <c r="M203" s="4">
        <v>787715.51</v>
      </c>
      <c r="N203" s="4">
        <v>128969.62</v>
      </c>
      <c r="O203">
        <f t="shared" si="6"/>
        <v>0</v>
      </c>
      <c r="P203">
        <f t="shared" si="7"/>
        <v>0</v>
      </c>
    </row>
    <row r="204" spans="1:16">
      <c r="A204" s="4" t="s">
        <v>72</v>
      </c>
      <c r="B204" s="6">
        <v>45717</v>
      </c>
      <c r="C204" s="4" t="s">
        <v>15</v>
      </c>
      <c r="D204" s="4" t="s">
        <v>21</v>
      </c>
      <c r="E204" s="4">
        <v>35203.230000000003</v>
      </c>
      <c r="F204" s="4">
        <v>6896</v>
      </c>
      <c r="G204" s="4">
        <v>3.2000000000000001E-2</v>
      </c>
      <c r="H204" s="4">
        <v>14</v>
      </c>
      <c r="I204" s="4">
        <v>80.8</v>
      </c>
      <c r="J204" s="4">
        <v>8.44</v>
      </c>
      <c r="K204" s="4">
        <v>1</v>
      </c>
      <c r="L204" s="4">
        <v>5</v>
      </c>
      <c r="M204" s="4">
        <v>607084.92000000004</v>
      </c>
      <c r="N204" s="4">
        <v>98558.49</v>
      </c>
      <c r="O204">
        <f t="shared" si="6"/>
        <v>0</v>
      </c>
      <c r="P204">
        <f t="shared" si="7"/>
        <v>0</v>
      </c>
    </row>
    <row r="205" spans="1:16">
      <c r="A205" s="4" t="s">
        <v>72</v>
      </c>
      <c r="B205" s="6">
        <v>45748</v>
      </c>
      <c r="C205" s="4" t="s">
        <v>15</v>
      </c>
      <c r="D205" s="4" t="s">
        <v>21</v>
      </c>
      <c r="E205" s="4">
        <v>64104.28</v>
      </c>
      <c r="F205" s="4">
        <v>6015</v>
      </c>
      <c r="G205" s="4">
        <v>0.127</v>
      </c>
      <c r="H205" s="4">
        <v>15</v>
      </c>
      <c r="I205" s="4">
        <v>88.7</v>
      </c>
      <c r="J205" s="4">
        <v>0.78</v>
      </c>
      <c r="K205" s="4">
        <v>0</v>
      </c>
      <c r="L205" s="4">
        <v>4</v>
      </c>
      <c r="M205" s="4">
        <v>650795.49</v>
      </c>
      <c r="N205" s="4">
        <v>103035.89</v>
      </c>
      <c r="O205">
        <f t="shared" si="6"/>
        <v>0</v>
      </c>
      <c r="P205">
        <f t="shared" si="7"/>
        <v>0</v>
      </c>
    </row>
    <row r="206" spans="1:16">
      <c r="A206" s="4" t="s">
        <v>73</v>
      </c>
      <c r="B206" s="6">
        <v>45658</v>
      </c>
      <c r="C206" s="4" t="s">
        <v>15</v>
      </c>
      <c r="D206" s="4" t="s">
        <v>28</v>
      </c>
      <c r="E206" s="4">
        <v>92090.14</v>
      </c>
      <c r="F206" s="4">
        <v>9476</v>
      </c>
      <c r="G206" s="4">
        <v>7.0000000000000007E-2</v>
      </c>
      <c r="H206" s="4">
        <v>24</v>
      </c>
      <c r="I206" s="4">
        <v>94.3</v>
      </c>
      <c r="J206" s="4">
        <v>0.87</v>
      </c>
      <c r="K206" s="4">
        <v>0</v>
      </c>
      <c r="L206" s="4">
        <v>3.7</v>
      </c>
      <c r="M206" s="4">
        <v>825060.52</v>
      </c>
      <c r="N206" s="4">
        <v>143613.15</v>
      </c>
      <c r="O206">
        <f t="shared" si="6"/>
        <v>0</v>
      </c>
      <c r="P206">
        <f t="shared" si="7"/>
        <v>0</v>
      </c>
    </row>
    <row r="207" spans="1:16">
      <c r="A207" s="4" t="s">
        <v>73</v>
      </c>
      <c r="B207" s="6">
        <v>45689</v>
      </c>
      <c r="C207" s="4" t="s">
        <v>15</v>
      </c>
      <c r="D207" s="4" t="s">
        <v>28</v>
      </c>
      <c r="E207" s="4">
        <v>54300.87</v>
      </c>
      <c r="F207" s="4">
        <v>7875</v>
      </c>
      <c r="G207" s="4">
        <v>0.107</v>
      </c>
      <c r="H207" s="4">
        <v>19</v>
      </c>
      <c r="I207" s="4">
        <v>94.1</v>
      </c>
      <c r="J207" s="4">
        <v>0.95</v>
      </c>
      <c r="K207" s="4">
        <v>0</v>
      </c>
      <c r="L207" s="4">
        <v>3.7</v>
      </c>
      <c r="M207" s="4">
        <v>795464.47</v>
      </c>
      <c r="N207" s="4">
        <v>161150.51999999999</v>
      </c>
      <c r="O207">
        <f t="shared" si="6"/>
        <v>0</v>
      </c>
      <c r="P207">
        <f t="shared" si="7"/>
        <v>0</v>
      </c>
    </row>
    <row r="208" spans="1:16">
      <c r="A208" s="4" t="s">
        <v>73</v>
      </c>
      <c r="B208" s="6">
        <v>45717</v>
      </c>
      <c r="C208" s="4" t="s">
        <v>15</v>
      </c>
      <c r="D208" s="4" t="s">
        <v>28</v>
      </c>
      <c r="E208" s="4">
        <v>37983.35</v>
      </c>
      <c r="F208" s="4">
        <v>9283</v>
      </c>
      <c r="G208" s="4">
        <v>0.14899999999999999</v>
      </c>
      <c r="H208" s="4">
        <v>19</v>
      </c>
      <c r="I208" s="4">
        <v>83.2</v>
      </c>
      <c r="J208" s="4">
        <v>3.82</v>
      </c>
      <c r="K208" s="4">
        <v>0</v>
      </c>
      <c r="L208" s="4">
        <v>3.7</v>
      </c>
      <c r="M208" s="4">
        <v>671868.59</v>
      </c>
      <c r="N208" s="4">
        <v>71003.28</v>
      </c>
      <c r="O208">
        <f t="shared" si="6"/>
        <v>0</v>
      </c>
      <c r="P208">
        <f t="shared" si="7"/>
        <v>0</v>
      </c>
    </row>
    <row r="209" spans="1:16">
      <c r="A209" s="4" t="s">
        <v>73</v>
      </c>
      <c r="B209" s="6">
        <v>45748</v>
      </c>
      <c r="C209" s="4" t="s">
        <v>15</v>
      </c>
      <c r="D209" s="4" t="s">
        <v>28</v>
      </c>
      <c r="E209" s="4">
        <v>56413.83</v>
      </c>
      <c r="F209" s="4">
        <v>8303</v>
      </c>
      <c r="G209" s="4">
        <v>0.11600000000000001</v>
      </c>
      <c r="H209" s="4">
        <v>18</v>
      </c>
      <c r="I209" s="4">
        <v>93.6</v>
      </c>
      <c r="J209" s="4">
        <v>2.7</v>
      </c>
      <c r="K209" s="4">
        <v>0</v>
      </c>
      <c r="L209" s="4">
        <v>3.7</v>
      </c>
      <c r="M209" s="4">
        <v>675917.63</v>
      </c>
      <c r="N209" s="4">
        <v>112564.75</v>
      </c>
      <c r="O209">
        <f t="shared" si="6"/>
        <v>0</v>
      </c>
      <c r="P209">
        <f t="shared" si="7"/>
        <v>0</v>
      </c>
    </row>
    <row r="210" spans="1:16">
      <c r="A210" s="4" t="s">
        <v>74</v>
      </c>
      <c r="B210" s="6">
        <v>45658</v>
      </c>
      <c r="C210" s="4" t="s">
        <v>15</v>
      </c>
      <c r="D210" s="4" t="s">
        <v>18</v>
      </c>
      <c r="E210" s="4">
        <v>63457.19</v>
      </c>
      <c r="F210" s="4">
        <v>10125</v>
      </c>
      <c r="G210" s="4">
        <v>9.7000000000000003E-2</v>
      </c>
      <c r="H210" s="4">
        <v>24</v>
      </c>
      <c r="I210" s="4">
        <v>87</v>
      </c>
      <c r="J210" s="4">
        <v>3.84</v>
      </c>
      <c r="K210" s="4">
        <v>1</v>
      </c>
      <c r="L210" s="4">
        <v>3.7</v>
      </c>
      <c r="M210" s="4">
        <v>810446.53</v>
      </c>
      <c r="N210" s="4">
        <v>200575.34</v>
      </c>
      <c r="O210">
        <f t="shared" si="6"/>
        <v>0</v>
      </c>
      <c r="P210">
        <f t="shared" si="7"/>
        <v>1</v>
      </c>
    </row>
    <row r="211" spans="1:16">
      <c r="A211" s="4" t="s">
        <v>74</v>
      </c>
      <c r="B211" s="6">
        <v>45689</v>
      </c>
      <c r="C211" s="4" t="s">
        <v>15</v>
      </c>
      <c r="D211" s="4" t="s">
        <v>18</v>
      </c>
      <c r="E211" s="4">
        <v>62949.7</v>
      </c>
      <c r="F211" s="4">
        <v>9458</v>
      </c>
      <c r="G211" s="4">
        <v>0.17100000000000001</v>
      </c>
      <c r="H211" s="4">
        <v>19</v>
      </c>
      <c r="I211" s="4">
        <v>84.9</v>
      </c>
      <c r="J211" s="4">
        <v>5.09</v>
      </c>
      <c r="K211" s="4">
        <v>0</v>
      </c>
      <c r="L211" s="4">
        <v>3.3</v>
      </c>
      <c r="M211" s="4">
        <v>691288.19</v>
      </c>
      <c r="N211" s="4">
        <v>159074.14000000001</v>
      </c>
      <c r="O211">
        <f t="shared" si="6"/>
        <v>0</v>
      </c>
      <c r="P211">
        <f t="shared" si="7"/>
        <v>1</v>
      </c>
    </row>
    <row r="212" spans="1:16">
      <c r="A212" s="4" t="s">
        <v>74</v>
      </c>
      <c r="B212" s="6">
        <v>45717</v>
      </c>
      <c r="C212" s="4" t="s">
        <v>15</v>
      </c>
      <c r="D212" s="4" t="s">
        <v>18</v>
      </c>
      <c r="E212" s="4">
        <v>107970.19</v>
      </c>
      <c r="F212" s="4">
        <v>12870</v>
      </c>
      <c r="G212" s="4">
        <v>2.9000000000000001E-2</v>
      </c>
      <c r="H212" s="4">
        <v>31</v>
      </c>
      <c r="I212" s="4">
        <v>91.7</v>
      </c>
      <c r="J212" s="4">
        <v>3.82</v>
      </c>
      <c r="K212" s="4">
        <v>1</v>
      </c>
      <c r="L212" s="4">
        <v>3.7</v>
      </c>
      <c r="M212" s="4">
        <v>946833.54</v>
      </c>
      <c r="N212" s="4">
        <v>184540.31</v>
      </c>
      <c r="O212">
        <f t="shared" si="6"/>
        <v>0</v>
      </c>
      <c r="P212">
        <f t="shared" si="7"/>
        <v>1</v>
      </c>
    </row>
    <row r="213" spans="1:16">
      <c r="A213" s="4" t="s">
        <v>74</v>
      </c>
      <c r="B213" s="6">
        <v>45748</v>
      </c>
      <c r="C213" s="4" t="s">
        <v>15</v>
      </c>
      <c r="D213" s="4" t="s">
        <v>18</v>
      </c>
      <c r="E213" s="4">
        <v>49405.75</v>
      </c>
      <c r="F213" s="4">
        <v>9752</v>
      </c>
      <c r="G213" s="4">
        <v>9.2999999999999999E-2</v>
      </c>
      <c r="H213" s="4">
        <v>21</v>
      </c>
      <c r="I213" s="4">
        <v>87</v>
      </c>
      <c r="J213" s="4">
        <v>12.28</v>
      </c>
      <c r="K213" s="4">
        <v>0</v>
      </c>
      <c r="L213" s="4">
        <v>4.0999999999999996</v>
      </c>
      <c r="M213" s="4">
        <v>761963.23</v>
      </c>
      <c r="N213" s="4">
        <v>150113.60999999999</v>
      </c>
      <c r="O213">
        <f t="shared" si="6"/>
        <v>0</v>
      </c>
      <c r="P213">
        <f t="shared" si="7"/>
        <v>1</v>
      </c>
    </row>
    <row r="214" spans="1:16">
      <c r="A214" s="4" t="s">
        <v>75</v>
      </c>
      <c r="B214" s="6">
        <v>45658</v>
      </c>
      <c r="C214" s="4" t="s">
        <v>27</v>
      </c>
      <c r="D214" s="4" t="s">
        <v>16</v>
      </c>
      <c r="E214" s="4">
        <v>50887.46</v>
      </c>
      <c r="F214" s="4">
        <v>9505</v>
      </c>
      <c r="G214" s="4">
        <v>9.0999999999999998E-2</v>
      </c>
      <c r="H214" s="4">
        <v>25</v>
      </c>
      <c r="I214" s="4">
        <v>89.7</v>
      </c>
      <c r="J214" s="4">
        <v>2.8</v>
      </c>
      <c r="K214" s="4">
        <v>0</v>
      </c>
      <c r="L214" s="4">
        <v>4.3</v>
      </c>
      <c r="M214" s="4">
        <v>812152.6</v>
      </c>
      <c r="N214" s="4">
        <v>138419.43</v>
      </c>
      <c r="O214">
        <f t="shared" si="6"/>
        <v>1</v>
      </c>
      <c r="P214">
        <f t="shared" si="7"/>
        <v>0</v>
      </c>
    </row>
    <row r="215" spans="1:16">
      <c r="A215" s="4" t="s">
        <v>75</v>
      </c>
      <c r="B215" s="6">
        <v>45689</v>
      </c>
      <c r="C215" s="4" t="s">
        <v>27</v>
      </c>
      <c r="D215" s="4" t="s">
        <v>16</v>
      </c>
      <c r="E215" s="4">
        <v>41819.449999999997</v>
      </c>
      <c r="F215" s="4">
        <v>9412</v>
      </c>
      <c r="G215" s="4">
        <v>0.15</v>
      </c>
      <c r="H215" s="4">
        <v>22</v>
      </c>
      <c r="I215" s="4">
        <v>91</v>
      </c>
      <c r="J215" s="4">
        <v>3.67</v>
      </c>
      <c r="K215" s="4">
        <v>0</v>
      </c>
      <c r="L215" s="4">
        <v>4.2</v>
      </c>
      <c r="M215" s="4">
        <v>804975.5</v>
      </c>
      <c r="N215" s="4">
        <v>140054.5</v>
      </c>
      <c r="O215">
        <f t="shared" si="6"/>
        <v>1</v>
      </c>
      <c r="P215">
        <f t="shared" si="7"/>
        <v>0</v>
      </c>
    </row>
    <row r="216" spans="1:16">
      <c r="A216" s="4" t="s">
        <v>75</v>
      </c>
      <c r="B216" s="6">
        <v>45717</v>
      </c>
      <c r="C216" s="4" t="s">
        <v>27</v>
      </c>
      <c r="D216" s="4" t="s">
        <v>16</v>
      </c>
      <c r="E216" s="4">
        <v>35296.54</v>
      </c>
      <c r="F216" s="4">
        <v>9644</v>
      </c>
      <c r="G216" s="4">
        <v>0</v>
      </c>
      <c r="H216" s="4">
        <v>22</v>
      </c>
      <c r="I216" s="4">
        <v>88</v>
      </c>
      <c r="J216" s="4">
        <v>2.81</v>
      </c>
      <c r="K216" s="4">
        <v>0</v>
      </c>
      <c r="L216" s="4">
        <v>4.7</v>
      </c>
      <c r="M216" s="4">
        <v>752321.72</v>
      </c>
      <c r="N216" s="4">
        <v>137788.51</v>
      </c>
      <c r="O216">
        <f t="shared" si="6"/>
        <v>1</v>
      </c>
      <c r="P216">
        <f t="shared" si="7"/>
        <v>0</v>
      </c>
    </row>
    <row r="217" spans="1:16">
      <c r="A217" s="4" t="s">
        <v>75</v>
      </c>
      <c r="B217" s="6">
        <v>45748</v>
      </c>
      <c r="C217" s="4" t="s">
        <v>27</v>
      </c>
      <c r="D217" s="4" t="s">
        <v>16</v>
      </c>
      <c r="E217" s="4">
        <v>47391.09</v>
      </c>
      <c r="F217" s="4">
        <v>11224</v>
      </c>
      <c r="G217" s="4">
        <v>0.14699999999999999</v>
      </c>
      <c r="H217" s="4">
        <v>25</v>
      </c>
      <c r="I217" s="4">
        <v>88.4</v>
      </c>
      <c r="J217" s="4">
        <v>2.44</v>
      </c>
      <c r="K217" s="4">
        <v>0</v>
      </c>
      <c r="L217" s="4">
        <v>4.9000000000000004</v>
      </c>
      <c r="M217" s="4">
        <v>836908.24</v>
      </c>
      <c r="N217" s="4">
        <v>141090.26</v>
      </c>
      <c r="O217">
        <f t="shared" si="6"/>
        <v>1</v>
      </c>
      <c r="P217">
        <f t="shared" si="7"/>
        <v>0</v>
      </c>
    </row>
    <row r="218" spans="1:16">
      <c r="A218" s="4" t="s">
        <v>76</v>
      </c>
      <c r="B218" s="6">
        <v>45658</v>
      </c>
      <c r="C218" s="4" t="s">
        <v>20</v>
      </c>
      <c r="D218" s="4" t="s">
        <v>21</v>
      </c>
      <c r="E218" s="4">
        <v>69180.539999999994</v>
      </c>
      <c r="F218" s="4">
        <v>5394</v>
      </c>
      <c r="G218" s="4">
        <v>0.126</v>
      </c>
      <c r="H218" s="4">
        <v>12</v>
      </c>
      <c r="I218" s="4">
        <v>82.9</v>
      </c>
      <c r="J218" s="4">
        <v>3.27</v>
      </c>
      <c r="K218" s="4">
        <v>0</v>
      </c>
      <c r="L218" s="4">
        <v>3.3</v>
      </c>
      <c r="M218" s="4">
        <v>674289.1</v>
      </c>
      <c r="N218" s="4">
        <v>117773.79</v>
      </c>
      <c r="O218">
        <f t="shared" si="6"/>
        <v>0</v>
      </c>
      <c r="P218">
        <f t="shared" si="7"/>
        <v>0</v>
      </c>
    </row>
    <row r="219" spans="1:16">
      <c r="A219" s="4" t="s">
        <v>76</v>
      </c>
      <c r="B219" s="6">
        <v>45689</v>
      </c>
      <c r="C219" s="4" t="s">
        <v>20</v>
      </c>
      <c r="D219" s="4" t="s">
        <v>21</v>
      </c>
      <c r="E219" s="4">
        <v>33987.33</v>
      </c>
      <c r="F219" s="4">
        <v>5014</v>
      </c>
      <c r="G219" s="4">
        <v>0.246</v>
      </c>
      <c r="H219" s="4">
        <v>17</v>
      </c>
      <c r="I219" s="4">
        <v>94.3</v>
      </c>
      <c r="J219" s="4">
        <v>10.34</v>
      </c>
      <c r="K219" s="4">
        <v>0</v>
      </c>
      <c r="L219" s="4">
        <v>3.9</v>
      </c>
      <c r="M219" s="4">
        <v>622892.42000000004</v>
      </c>
      <c r="N219" s="4">
        <v>101032.52</v>
      </c>
      <c r="O219">
        <f t="shared" si="6"/>
        <v>0</v>
      </c>
      <c r="P219">
        <f t="shared" si="7"/>
        <v>0</v>
      </c>
    </row>
    <row r="220" spans="1:16">
      <c r="A220" s="4" t="s">
        <v>76</v>
      </c>
      <c r="B220" s="6">
        <v>45717</v>
      </c>
      <c r="C220" s="4" t="s">
        <v>20</v>
      </c>
      <c r="D220" s="4" t="s">
        <v>21</v>
      </c>
      <c r="E220" s="4">
        <v>58785.33</v>
      </c>
      <c r="F220" s="4">
        <v>4467</v>
      </c>
      <c r="G220" s="4">
        <v>0.22900000000000001</v>
      </c>
      <c r="H220" s="4">
        <v>14</v>
      </c>
      <c r="I220" s="4">
        <v>90.7</v>
      </c>
      <c r="J220" s="4">
        <v>1.92</v>
      </c>
      <c r="K220" s="4">
        <v>0</v>
      </c>
      <c r="L220" s="4">
        <v>3.7</v>
      </c>
      <c r="M220" s="4">
        <v>673348.56</v>
      </c>
      <c r="N220" s="4">
        <v>69464.59</v>
      </c>
      <c r="O220">
        <f t="shared" si="6"/>
        <v>0</v>
      </c>
      <c r="P220">
        <f t="shared" si="7"/>
        <v>0</v>
      </c>
    </row>
    <row r="221" spans="1:16">
      <c r="A221" s="4" t="s">
        <v>76</v>
      </c>
      <c r="B221" s="6">
        <v>45748</v>
      </c>
      <c r="C221" s="4" t="s">
        <v>20</v>
      </c>
      <c r="D221" s="4" t="s">
        <v>21</v>
      </c>
      <c r="E221" s="4">
        <v>16451.849999999999</v>
      </c>
      <c r="F221" s="4">
        <v>4678</v>
      </c>
      <c r="G221" s="4">
        <v>0.13300000000000001</v>
      </c>
      <c r="H221" s="4">
        <v>11</v>
      </c>
      <c r="I221" s="4">
        <v>95.9</v>
      </c>
      <c r="J221" s="4">
        <v>3.1</v>
      </c>
      <c r="K221" s="4">
        <v>0</v>
      </c>
      <c r="L221" s="4">
        <v>3.9</v>
      </c>
      <c r="M221" s="4">
        <v>606278.30000000005</v>
      </c>
      <c r="N221" s="4">
        <v>102213.26</v>
      </c>
      <c r="O221">
        <f t="shared" si="6"/>
        <v>0</v>
      </c>
      <c r="P221">
        <f t="shared" si="7"/>
        <v>0</v>
      </c>
    </row>
    <row r="222" spans="1:16">
      <c r="A222" s="4" t="s">
        <v>77</v>
      </c>
      <c r="B222" s="6">
        <v>45658</v>
      </c>
      <c r="C222" s="4" t="s">
        <v>15</v>
      </c>
      <c r="D222" s="4" t="s">
        <v>18</v>
      </c>
      <c r="E222" s="4">
        <v>53367.73</v>
      </c>
      <c r="F222" s="4">
        <v>7291</v>
      </c>
      <c r="G222" s="4">
        <v>0.14599999999999999</v>
      </c>
      <c r="H222" s="4">
        <v>18</v>
      </c>
      <c r="I222" s="4">
        <v>90.6</v>
      </c>
      <c r="J222" s="4">
        <v>6.34</v>
      </c>
      <c r="K222" s="4">
        <v>1</v>
      </c>
      <c r="L222" s="4">
        <v>3.8</v>
      </c>
      <c r="M222" s="4">
        <v>712219.81</v>
      </c>
      <c r="N222" s="4">
        <v>85906.54</v>
      </c>
      <c r="O222">
        <f t="shared" si="6"/>
        <v>0</v>
      </c>
      <c r="P222">
        <f t="shared" si="7"/>
        <v>1</v>
      </c>
    </row>
    <row r="223" spans="1:16">
      <c r="A223" s="4" t="s">
        <v>77</v>
      </c>
      <c r="B223" s="6">
        <v>45689</v>
      </c>
      <c r="C223" s="4" t="s">
        <v>15</v>
      </c>
      <c r="D223" s="4" t="s">
        <v>18</v>
      </c>
      <c r="E223" s="4">
        <v>27194.639999999999</v>
      </c>
      <c r="F223" s="4">
        <v>7404</v>
      </c>
      <c r="G223" s="4">
        <v>8.7999999999999995E-2</v>
      </c>
      <c r="H223" s="4">
        <v>18</v>
      </c>
      <c r="I223" s="4">
        <v>90.2</v>
      </c>
      <c r="J223" s="4">
        <v>1.2</v>
      </c>
      <c r="K223" s="4">
        <v>0</v>
      </c>
      <c r="L223" s="4">
        <v>3.4</v>
      </c>
      <c r="M223" s="4">
        <v>672670.54</v>
      </c>
      <c r="N223" s="4">
        <v>132684.18</v>
      </c>
      <c r="O223">
        <f t="shared" si="6"/>
        <v>0</v>
      </c>
      <c r="P223">
        <f t="shared" si="7"/>
        <v>1</v>
      </c>
    </row>
    <row r="224" spans="1:16">
      <c r="A224" s="4" t="s">
        <v>77</v>
      </c>
      <c r="B224" s="6">
        <v>45717</v>
      </c>
      <c r="C224" s="4" t="s">
        <v>15</v>
      </c>
      <c r="D224" s="4" t="s">
        <v>18</v>
      </c>
      <c r="E224" s="4">
        <v>66962.740000000005</v>
      </c>
      <c r="F224" s="4">
        <v>7880</v>
      </c>
      <c r="G224" s="4">
        <v>0.11600000000000001</v>
      </c>
      <c r="H224" s="4">
        <v>19</v>
      </c>
      <c r="I224" s="4">
        <v>90.4</v>
      </c>
      <c r="J224" s="4">
        <v>4.5</v>
      </c>
      <c r="K224" s="4">
        <v>0</v>
      </c>
      <c r="L224" s="4">
        <v>3.3</v>
      </c>
      <c r="M224" s="4">
        <v>732667.92</v>
      </c>
      <c r="N224" s="4">
        <v>128654.46</v>
      </c>
      <c r="O224">
        <f t="shared" si="6"/>
        <v>0</v>
      </c>
      <c r="P224">
        <f t="shared" si="7"/>
        <v>1</v>
      </c>
    </row>
    <row r="225" spans="1:16">
      <c r="A225" s="4" t="s">
        <v>77</v>
      </c>
      <c r="B225" s="6">
        <v>45748</v>
      </c>
      <c r="C225" s="4" t="s">
        <v>15</v>
      </c>
      <c r="D225" s="4" t="s">
        <v>18</v>
      </c>
      <c r="E225" s="4">
        <v>73540.990000000005</v>
      </c>
      <c r="F225" s="4">
        <v>8773</v>
      </c>
      <c r="G225" s="4">
        <v>3.5000000000000003E-2</v>
      </c>
      <c r="H225" s="4">
        <v>21</v>
      </c>
      <c r="I225" s="4">
        <v>84.4</v>
      </c>
      <c r="J225" s="4">
        <v>6.68</v>
      </c>
      <c r="K225" s="4">
        <v>0</v>
      </c>
      <c r="L225" s="4">
        <v>3.6</v>
      </c>
      <c r="M225" s="4">
        <v>723531.4</v>
      </c>
      <c r="N225" s="4">
        <v>108794.85</v>
      </c>
      <c r="O225">
        <f t="shared" si="6"/>
        <v>0</v>
      </c>
      <c r="P225">
        <f t="shared" si="7"/>
        <v>1</v>
      </c>
    </row>
    <row r="226" spans="1:16">
      <c r="A226" s="4" t="s">
        <v>78</v>
      </c>
      <c r="B226" s="6">
        <v>45658</v>
      </c>
      <c r="C226" s="4" t="s">
        <v>15</v>
      </c>
      <c r="D226" s="4" t="s">
        <v>28</v>
      </c>
      <c r="E226" s="4">
        <v>68212.289999999994</v>
      </c>
      <c r="F226" s="4">
        <v>4713</v>
      </c>
      <c r="G226" s="4">
        <v>0.19800000000000001</v>
      </c>
      <c r="H226" s="4">
        <v>15</v>
      </c>
      <c r="I226" s="4">
        <v>82.6</v>
      </c>
      <c r="J226" s="4">
        <v>4.07</v>
      </c>
      <c r="K226" s="4">
        <v>1</v>
      </c>
      <c r="L226" s="4">
        <v>3</v>
      </c>
      <c r="M226" s="4">
        <v>641564.6</v>
      </c>
      <c r="N226" s="4">
        <v>90468.96</v>
      </c>
      <c r="O226">
        <f t="shared" si="6"/>
        <v>0</v>
      </c>
      <c r="P226">
        <f t="shared" si="7"/>
        <v>0</v>
      </c>
    </row>
    <row r="227" spans="1:16">
      <c r="A227" s="4" t="s">
        <v>78</v>
      </c>
      <c r="B227" s="6">
        <v>45689</v>
      </c>
      <c r="C227" s="4" t="s">
        <v>15</v>
      </c>
      <c r="D227" s="4" t="s">
        <v>28</v>
      </c>
      <c r="E227" s="4">
        <v>57225.98</v>
      </c>
      <c r="F227" s="4">
        <v>2842</v>
      </c>
      <c r="G227" s="4">
        <v>0.112</v>
      </c>
      <c r="H227" s="4">
        <v>10</v>
      </c>
      <c r="I227" s="4">
        <v>79.5</v>
      </c>
      <c r="J227" s="4">
        <v>5.45</v>
      </c>
      <c r="K227" s="4">
        <v>0</v>
      </c>
      <c r="L227" s="4">
        <v>3.4</v>
      </c>
      <c r="M227" s="4">
        <v>536545.49</v>
      </c>
      <c r="N227" s="4">
        <v>97917.45</v>
      </c>
      <c r="O227">
        <f t="shared" si="6"/>
        <v>0</v>
      </c>
      <c r="P227">
        <f t="shared" si="7"/>
        <v>0</v>
      </c>
    </row>
    <row r="228" spans="1:16">
      <c r="A228" s="4" t="s">
        <v>78</v>
      </c>
      <c r="B228" s="6">
        <v>45717</v>
      </c>
      <c r="C228" s="4" t="s">
        <v>15</v>
      </c>
      <c r="D228" s="4" t="s">
        <v>28</v>
      </c>
      <c r="E228" s="4">
        <v>42932.02</v>
      </c>
      <c r="F228" s="4">
        <v>3872</v>
      </c>
      <c r="G228" s="4">
        <v>0.17100000000000001</v>
      </c>
      <c r="H228" s="4">
        <v>12</v>
      </c>
      <c r="I228" s="4">
        <v>83.2</v>
      </c>
      <c r="J228" s="4">
        <v>15.58</v>
      </c>
      <c r="K228" s="4">
        <v>0</v>
      </c>
      <c r="L228" s="4">
        <v>3.3</v>
      </c>
      <c r="M228" s="4">
        <v>527681.56000000006</v>
      </c>
      <c r="N228" s="4">
        <v>63153.05</v>
      </c>
      <c r="O228">
        <f t="shared" si="6"/>
        <v>0</v>
      </c>
      <c r="P228">
        <f t="shared" si="7"/>
        <v>0</v>
      </c>
    </row>
    <row r="229" spans="1:16">
      <c r="A229" s="4" t="s">
        <v>78</v>
      </c>
      <c r="B229" s="6">
        <v>45748</v>
      </c>
      <c r="C229" s="4" t="s">
        <v>15</v>
      </c>
      <c r="D229" s="4" t="s">
        <v>28</v>
      </c>
      <c r="E229" s="4">
        <v>39341.449999999997</v>
      </c>
      <c r="F229" s="4">
        <v>1375</v>
      </c>
      <c r="G229" s="4">
        <v>9.2999999999999999E-2</v>
      </c>
      <c r="H229" s="4">
        <v>5</v>
      </c>
      <c r="I229" s="4">
        <v>95</v>
      </c>
      <c r="J229" s="4">
        <v>5.32</v>
      </c>
      <c r="K229" s="4">
        <v>0</v>
      </c>
      <c r="L229" s="4"/>
      <c r="M229" s="4">
        <v>529598.93999999994</v>
      </c>
      <c r="N229" s="4">
        <v>84334.33</v>
      </c>
      <c r="O229">
        <f t="shared" si="6"/>
        <v>0</v>
      </c>
      <c r="P229">
        <f t="shared" si="7"/>
        <v>0</v>
      </c>
    </row>
    <row r="230" spans="1:16">
      <c r="A230" s="4" t="s">
        <v>79</v>
      </c>
      <c r="B230" s="6">
        <v>45658</v>
      </c>
      <c r="C230" s="4" t="s">
        <v>15</v>
      </c>
      <c r="D230" s="4" t="s">
        <v>18</v>
      </c>
      <c r="E230" s="4">
        <v>37324.230000000003</v>
      </c>
      <c r="F230" s="4">
        <v>5957</v>
      </c>
      <c r="G230" s="4">
        <v>7.0999999999999994E-2</v>
      </c>
      <c r="H230" s="4">
        <v>12</v>
      </c>
      <c r="I230" s="4">
        <v>85.9</v>
      </c>
      <c r="J230" s="4">
        <v>0.37</v>
      </c>
      <c r="K230" s="4">
        <v>0</v>
      </c>
      <c r="L230" s="4">
        <v>3.8</v>
      </c>
      <c r="M230" s="4">
        <v>570963.31000000006</v>
      </c>
      <c r="N230" s="4">
        <v>87342.25</v>
      </c>
      <c r="O230">
        <f t="shared" si="6"/>
        <v>0</v>
      </c>
      <c r="P230">
        <f t="shared" si="7"/>
        <v>1</v>
      </c>
    </row>
    <row r="231" spans="1:16">
      <c r="A231" s="4" t="s">
        <v>79</v>
      </c>
      <c r="B231" s="6">
        <v>45689</v>
      </c>
      <c r="C231" s="4" t="s">
        <v>15</v>
      </c>
      <c r="D231" s="4" t="s">
        <v>18</v>
      </c>
      <c r="E231" s="4">
        <v>113736</v>
      </c>
      <c r="F231" s="4">
        <v>8961</v>
      </c>
      <c r="G231" s="4">
        <v>0.20200000000000001</v>
      </c>
      <c r="H231" s="4">
        <v>24</v>
      </c>
      <c r="I231" s="4">
        <v>86.2</v>
      </c>
      <c r="J231" s="4">
        <v>21.63</v>
      </c>
      <c r="K231" s="4">
        <v>0</v>
      </c>
      <c r="L231" s="4">
        <v>4</v>
      </c>
      <c r="M231" s="4">
        <v>870937.4</v>
      </c>
      <c r="N231" s="4">
        <v>175282.74</v>
      </c>
      <c r="O231">
        <f t="shared" si="6"/>
        <v>0</v>
      </c>
      <c r="P231">
        <f t="shared" si="7"/>
        <v>1</v>
      </c>
    </row>
    <row r="232" spans="1:16">
      <c r="A232" s="4" t="s">
        <v>79</v>
      </c>
      <c r="B232" s="6">
        <v>45717</v>
      </c>
      <c r="C232" s="4" t="s">
        <v>15</v>
      </c>
      <c r="D232" s="4" t="s">
        <v>18</v>
      </c>
      <c r="E232" s="4">
        <v>33173.949999999997</v>
      </c>
      <c r="F232" s="4">
        <v>6545</v>
      </c>
      <c r="G232" s="4">
        <v>0.16900000000000001</v>
      </c>
      <c r="H232" s="4">
        <v>15</v>
      </c>
      <c r="I232" s="4">
        <v>84.4</v>
      </c>
      <c r="J232" s="4">
        <v>2.48</v>
      </c>
      <c r="K232" s="4">
        <v>0</v>
      </c>
      <c r="L232" s="4">
        <v>3.9</v>
      </c>
      <c r="M232" s="4">
        <v>596969.27</v>
      </c>
      <c r="N232" s="4">
        <v>105669.51</v>
      </c>
      <c r="O232">
        <f t="shared" si="6"/>
        <v>0</v>
      </c>
      <c r="P232">
        <f t="shared" si="7"/>
        <v>1</v>
      </c>
    </row>
    <row r="233" spans="1:16">
      <c r="A233" s="4" t="s">
        <v>79</v>
      </c>
      <c r="B233" s="6">
        <v>45748</v>
      </c>
      <c r="C233" s="4" t="s">
        <v>15</v>
      </c>
      <c r="D233" s="4" t="s">
        <v>18</v>
      </c>
      <c r="E233" s="4">
        <v>25818.080000000002</v>
      </c>
      <c r="F233" s="4">
        <v>5457</v>
      </c>
      <c r="G233" s="4">
        <v>0</v>
      </c>
      <c r="H233" s="4">
        <v>11</v>
      </c>
      <c r="I233" s="4">
        <v>95.4</v>
      </c>
      <c r="J233" s="4"/>
      <c r="K233" s="4">
        <v>0</v>
      </c>
      <c r="L233" s="4">
        <v>3.7</v>
      </c>
      <c r="M233" s="4">
        <v>647512.85</v>
      </c>
      <c r="N233" s="4">
        <v>153835.57</v>
      </c>
      <c r="O233">
        <f t="shared" si="6"/>
        <v>0</v>
      </c>
      <c r="P233">
        <f t="shared" si="7"/>
        <v>1</v>
      </c>
    </row>
    <row r="234" spans="1:16">
      <c r="A234" s="4" t="s">
        <v>80</v>
      </c>
      <c r="B234" s="6">
        <v>45658</v>
      </c>
      <c r="C234" s="4" t="s">
        <v>27</v>
      </c>
      <c r="D234" s="4" t="s">
        <v>16</v>
      </c>
      <c r="E234" s="4">
        <v>47241.919999999998</v>
      </c>
      <c r="F234" s="4">
        <v>4264</v>
      </c>
      <c r="G234" s="4">
        <v>6.9000000000000006E-2</v>
      </c>
      <c r="H234" s="4">
        <v>13</v>
      </c>
      <c r="I234" s="4">
        <v>95.3</v>
      </c>
      <c r="J234" s="4">
        <v>0.85</v>
      </c>
      <c r="K234" s="4">
        <v>0</v>
      </c>
      <c r="L234" s="4">
        <v>4.3</v>
      </c>
      <c r="M234" s="4">
        <v>658072.14</v>
      </c>
      <c r="N234" s="4">
        <v>110595.89</v>
      </c>
      <c r="O234">
        <f t="shared" si="6"/>
        <v>1</v>
      </c>
      <c r="P234">
        <f t="shared" si="7"/>
        <v>0</v>
      </c>
    </row>
    <row r="235" spans="1:16">
      <c r="A235" s="4" t="s">
        <v>80</v>
      </c>
      <c r="B235" s="6">
        <v>45689</v>
      </c>
      <c r="C235" s="4" t="s">
        <v>27</v>
      </c>
      <c r="D235" s="4" t="s">
        <v>16</v>
      </c>
      <c r="E235" s="4">
        <v>61650.79</v>
      </c>
      <c r="F235" s="4">
        <v>5321</v>
      </c>
      <c r="G235" s="4">
        <v>0.126</v>
      </c>
      <c r="H235" s="4">
        <v>17</v>
      </c>
      <c r="I235" s="4">
        <v>89.2</v>
      </c>
      <c r="J235" s="4">
        <v>2.13</v>
      </c>
      <c r="K235" s="4">
        <v>0</v>
      </c>
      <c r="L235" s="4">
        <v>4</v>
      </c>
      <c r="M235" s="4">
        <v>723305.11</v>
      </c>
      <c r="N235" s="4">
        <v>128468.7</v>
      </c>
      <c r="O235">
        <f t="shared" si="6"/>
        <v>1</v>
      </c>
      <c r="P235">
        <f t="shared" si="7"/>
        <v>0</v>
      </c>
    </row>
    <row r="236" spans="1:16">
      <c r="A236" s="4" t="s">
        <v>80</v>
      </c>
      <c r="B236" s="6">
        <v>45717</v>
      </c>
      <c r="C236" s="4" t="s">
        <v>27</v>
      </c>
      <c r="D236" s="4" t="s">
        <v>16</v>
      </c>
      <c r="E236" s="4">
        <v>62582.71</v>
      </c>
      <c r="F236" s="4">
        <v>5479</v>
      </c>
      <c r="G236" s="4">
        <v>4.8000000000000001E-2</v>
      </c>
      <c r="H236" s="4">
        <v>16</v>
      </c>
      <c r="I236" s="4">
        <v>81.2</v>
      </c>
      <c r="J236" s="4">
        <v>1.46</v>
      </c>
      <c r="K236" s="4">
        <v>0</v>
      </c>
      <c r="L236" s="4">
        <v>4.5</v>
      </c>
      <c r="M236" s="4">
        <v>640666.53</v>
      </c>
      <c r="N236" s="4">
        <v>134919.16</v>
      </c>
      <c r="O236">
        <f t="shared" si="6"/>
        <v>1</v>
      </c>
      <c r="P236">
        <f t="shared" si="7"/>
        <v>0</v>
      </c>
    </row>
    <row r="237" spans="1:16">
      <c r="A237" s="4" t="s">
        <v>80</v>
      </c>
      <c r="B237" s="6">
        <v>45748</v>
      </c>
      <c r="C237" s="4" t="s">
        <v>27</v>
      </c>
      <c r="D237" s="4" t="s">
        <v>16</v>
      </c>
      <c r="E237" s="4">
        <v>47944.14</v>
      </c>
      <c r="F237" s="4">
        <v>6169</v>
      </c>
      <c r="G237" s="4">
        <v>0.11899999999999999</v>
      </c>
      <c r="H237" s="4">
        <v>17</v>
      </c>
      <c r="I237" s="4">
        <v>92.2</v>
      </c>
      <c r="J237" s="4">
        <v>3.02</v>
      </c>
      <c r="K237" s="4">
        <v>0</v>
      </c>
      <c r="L237" s="4">
        <v>4.0999999999999996</v>
      </c>
      <c r="M237" s="4">
        <v>670629.48</v>
      </c>
      <c r="N237" s="4">
        <v>100140.8</v>
      </c>
      <c r="O237">
        <f t="shared" si="6"/>
        <v>1</v>
      </c>
      <c r="P237">
        <f t="shared" si="7"/>
        <v>0</v>
      </c>
    </row>
    <row r="238" spans="1:16">
      <c r="A238" s="4" t="s">
        <v>81</v>
      </c>
      <c r="B238" s="6">
        <v>45658</v>
      </c>
      <c r="C238" s="4" t="s">
        <v>27</v>
      </c>
      <c r="D238" s="4" t="s">
        <v>28</v>
      </c>
      <c r="E238" s="4">
        <v>46495.4</v>
      </c>
      <c r="F238" s="4">
        <v>9908</v>
      </c>
      <c r="G238" s="4">
        <v>0.121</v>
      </c>
      <c r="H238" s="4">
        <v>22</v>
      </c>
      <c r="I238" s="4">
        <v>89.4</v>
      </c>
      <c r="J238" s="4">
        <v>3.22</v>
      </c>
      <c r="K238" s="4">
        <v>0</v>
      </c>
      <c r="L238" s="4">
        <v>3.7</v>
      </c>
      <c r="M238" s="4">
        <v>721079.35</v>
      </c>
      <c r="N238" s="4">
        <v>115295.05</v>
      </c>
      <c r="O238">
        <f t="shared" si="6"/>
        <v>0</v>
      </c>
      <c r="P238">
        <f t="shared" si="7"/>
        <v>0</v>
      </c>
    </row>
    <row r="239" spans="1:16">
      <c r="A239" s="4" t="s">
        <v>81</v>
      </c>
      <c r="B239" s="6">
        <v>45689</v>
      </c>
      <c r="C239" s="4" t="s">
        <v>27</v>
      </c>
      <c r="D239" s="4" t="s">
        <v>28</v>
      </c>
      <c r="E239" s="4">
        <v>72961.95</v>
      </c>
      <c r="F239" s="4">
        <v>9996</v>
      </c>
      <c r="G239" s="4">
        <v>0.106</v>
      </c>
      <c r="H239" s="4">
        <v>22</v>
      </c>
      <c r="I239" s="4">
        <v>89.1</v>
      </c>
      <c r="J239" s="4">
        <v>15.66</v>
      </c>
      <c r="K239" s="4">
        <v>0</v>
      </c>
      <c r="L239" s="4">
        <v>3.4</v>
      </c>
      <c r="M239" s="4">
        <v>810355.02</v>
      </c>
      <c r="N239" s="4">
        <v>131510</v>
      </c>
      <c r="O239">
        <f t="shared" si="6"/>
        <v>0</v>
      </c>
      <c r="P239">
        <f t="shared" si="7"/>
        <v>0</v>
      </c>
    </row>
    <row r="240" spans="1:16">
      <c r="A240" s="4" t="s">
        <v>81</v>
      </c>
      <c r="B240" s="6">
        <v>45717</v>
      </c>
      <c r="C240" s="4" t="s">
        <v>27</v>
      </c>
      <c r="D240" s="4" t="s">
        <v>28</v>
      </c>
      <c r="E240" s="4">
        <v>59060.05</v>
      </c>
      <c r="F240" s="4">
        <v>9702</v>
      </c>
      <c r="G240" s="4">
        <v>0.20100000000000001</v>
      </c>
      <c r="H240" s="4">
        <v>23</v>
      </c>
      <c r="I240" s="4">
        <v>80.900000000000006</v>
      </c>
      <c r="J240" s="4">
        <v>6.96</v>
      </c>
      <c r="K240" s="4">
        <v>0</v>
      </c>
      <c r="L240" s="4">
        <v>3.2</v>
      </c>
      <c r="M240" s="4">
        <v>761919.25</v>
      </c>
      <c r="N240" s="4">
        <v>111893.06</v>
      </c>
      <c r="O240">
        <f t="shared" si="6"/>
        <v>0</v>
      </c>
      <c r="P240">
        <f t="shared" si="7"/>
        <v>0</v>
      </c>
    </row>
    <row r="241" spans="1:16">
      <c r="A241" s="4" t="s">
        <v>81</v>
      </c>
      <c r="B241" s="6">
        <v>45748</v>
      </c>
      <c r="C241" s="4" t="s">
        <v>27</v>
      </c>
      <c r="D241" s="4" t="s">
        <v>28</v>
      </c>
      <c r="E241" s="4">
        <v>26248.1</v>
      </c>
      <c r="F241" s="4">
        <v>9314</v>
      </c>
      <c r="G241" s="4">
        <v>0.186</v>
      </c>
      <c r="H241" s="4">
        <v>21</v>
      </c>
      <c r="I241" s="4">
        <v>83.7</v>
      </c>
      <c r="J241" s="4">
        <v>4.62</v>
      </c>
      <c r="K241" s="4">
        <v>0</v>
      </c>
      <c r="L241" s="4">
        <v>3.3</v>
      </c>
      <c r="M241" s="4">
        <v>737070.18</v>
      </c>
      <c r="N241" s="4">
        <v>117593.97</v>
      </c>
      <c r="O241">
        <f t="shared" si="6"/>
        <v>0</v>
      </c>
      <c r="P241">
        <f t="shared" si="7"/>
        <v>0</v>
      </c>
    </row>
    <row r="242" spans="1:16">
      <c r="A242" s="4" t="s">
        <v>82</v>
      </c>
      <c r="B242" s="6">
        <v>45658</v>
      </c>
      <c r="C242" s="4" t="s">
        <v>24</v>
      </c>
      <c r="D242" s="4" t="s">
        <v>21</v>
      </c>
      <c r="E242" s="4">
        <v>69900.12</v>
      </c>
      <c r="F242" s="4">
        <v>8055</v>
      </c>
      <c r="G242" s="4">
        <v>0.28100000000000003</v>
      </c>
      <c r="H242" s="4">
        <v>22</v>
      </c>
      <c r="I242" s="4">
        <v>85.6</v>
      </c>
      <c r="J242" s="4">
        <v>10.68</v>
      </c>
      <c r="K242" s="4">
        <v>1</v>
      </c>
      <c r="L242" s="4">
        <v>2.9</v>
      </c>
      <c r="M242" s="4">
        <v>776992.93</v>
      </c>
      <c r="N242" s="4">
        <v>101598.32</v>
      </c>
      <c r="O242">
        <f t="shared" si="6"/>
        <v>0</v>
      </c>
      <c r="P242">
        <f t="shared" si="7"/>
        <v>0</v>
      </c>
    </row>
    <row r="243" spans="1:16">
      <c r="A243" s="4" t="s">
        <v>82</v>
      </c>
      <c r="B243" s="6">
        <v>45689</v>
      </c>
      <c r="C243" s="4" t="s">
        <v>24</v>
      </c>
      <c r="D243" s="4" t="s">
        <v>21</v>
      </c>
      <c r="E243" s="4">
        <v>51781.599999999999</v>
      </c>
      <c r="F243" s="4">
        <v>5648</v>
      </c>
      <c r="G243" s="4">
        <v>5.8999999999999997E-2</v>
      </c>
      <c r="H243" s="4">
        <v>13</v>
      </c>
      <c r="I243" s="4">
        <v>85.5</v>
      </c>
      <c r="J243" s="4">
        <v>4.04</v>
      </c>
      <c r="K243" s="4">
        <v>0</v>
      </c>
      <c r="L243" s="4">
        <v>3.7</v>
      </c>
      <c r="M243" s="4">
        <v>676337.41</v>
      </c>
      <c r="N243" s="4">
        <v>104355.77</v>
      </c>
      <c r="O243">
        <f t="shared" si="6"/>
        <v>0</v>
      </c>
      <c r="P243">
        <f t="shared" si="7"/>
        <v>0</v>
      </c>
    </row>
    <row r="244" spans="1:16">
      <c r="A244" s="4" t="s">
        <v>82</v>
      </c>
      <c r="B244" s="6">
        <v>45717</v>
      </c>
      <c r="C244" s="4" t="s">
        <v>24</v>
      </c>
      <c r="D244" s="4" t="s">
        <v>21</v>
      </c>
      <c r="E244" s="4">
        <v>70799.64</v>
      </c>
      <c r="F244" s="4">
        <v>10076</v>
      </c>
      <c r="G244" s="4">
        <v>0.152</v>
      </c>
      <c r="H244" s="4">
        <v>24</v>
      </c>
      <c r="I244" s="4">
        <v>84.8</v>
      </c>
      <c r="J244" s="4">
        <v>1.87</v>
      </c>
      <c r="K244" s="4">
        <v>0</v>
      </c>
      <c r="L244" s="4">
        <v>3.5</v>
      </c>
      <c r="M244" s="4">
        <v>828219.67</v>
      </c>
      <c r="N244" s="4">
        <v>179806.87</v>
      </c>
      <c r="O244">
        <f t="shared" si="6"/>
        <v>0</v>
      </c>
      <c r="P244">
        <f t="shared" si="7"/>
        <v>0</v>
      </c>
    </row>
    <row r="245" spans="1:16">
      <c r="A245" s="4" t="s">
        <v>82</v>
      </c>
      <c r="B245" s="6">
        <v>45748</v>
      </c>
      <c r="C245" s="4" t="s">
        <v>24</v>
      </c>
      <c r="D245" s="4" t="s">
        <v>21</v>
      </c>
      <c r="E245" s="4">
        <v>53546.34</v>
      </c>
      <c r="F245" s="4">
        <v>8004</v>
      </c>
      <c r="G245" s="4">
        <v>0</v>
      </c>
      <c r="H245" s="4">
        <v>21</v>
      </c>
      <c r="I245" s="4">
        <v>95.2</v>
      </c>
      <c r="J245" s="4">
        <v>2.83</v>
      </c>
      <c r="K245" s="4">
        <v>0</v>
      </c>
      <c r="L245" s="4">
        <v>3</v>
      </c>
      <c r="M245" s="4">
        <v>763159.92</v>
      </c>
      <c r="N245" s="4">
        <v>177104.87</v>
      </c>
      <c r="O245">
        <f t="shared" si="6"/>
        <v>0</v>
      </c>
      <c r="P245">
        <f t="shared" si="7"/>
        <v>0</v>
      </c>
    </row>
    <row r="246" spans="1:16">
      <c r="A246" s="4" t="s">
        <v>83</v>
      </c>
      <c r="B246" s="6">
        <v>45658</v>
      </c>
      <c r="C246" s="4" t="s">
        <v>15</v>
      </c>
      <c r="D246" s="4" t="s">
        <v>18</v>
      </c>
      <c r="E246" s="4">
        <v>76942.2</v>
      </c>
      <c r="F246" s="4">
        <v>8934</v>
      </c>
      <c r="G246" s="4">
        <v>8.4000000000000005E-2</v>
      </c>
      <c r="H246" s="4">
        <v>20</v>
      </c>
      <c r="I246" s="4">
        <v>91</v>
      </c>
      <c r="J246" s="4">
        <v>0.95</v>
      </c>
      <c r="K246" s="4">
        <v>0</v>
      </c>
      <c r="L246" s="4">
        <v>3.2</v>
      </c>
      <c r="M246" s="4">
        <v>802001.68</v>
      </c>
      <c r="N246" s="4">
        <v>159715.82</v>
      </c>
      <c r="O246">
        <f t="shared" si="6"/>
        <v>0</v>
      </c>
      <c r="P246">
        <f t="shared" si="7"/>
        <v>1</v>
      </c>
    </row>
    <row r="247" spans="1:16">
      <c r="A247" s="4" t="s">
        <v>83</v>
      </c>
      <c r="B247" s="6">
        <v>45689</v>
      </c>
      <c r="C247" s="4" t="s">
        <v>15</v>
      </c>
      <c r="D247" s="4" t="s">
        <v>18</v>
      </c>
      <c r="E247" s="4">
        <v>48060.78</v>
      </c>
      <c r="F247" s="4">
        <v>8733</v>
      </c>
      <c r="G247" s="4">
        <v>0</v>
      </c>
      <c r="H247" s="4">
        <v>20</v>
      </c>
      <c r="I247" s="4">
        <v>89.9</v>
      </c>
      <c r="J247" s="4">
        <v>0.8</v>
      </c>
      <c r="K247" s="4">
        <v>0</v>
      </c>
      <c r="L247" s="4">
        <v>3.4</v>
      </c>
      <c r="M247" s="4">
        <v>750471.34</v>
      </c>
      <c r="N247" s="4">
        <v>133788.04</v>
      </c>
      <c r="O247">
        <f t="shared" si="6"/>
        <v>0</v>
      </c>
      <c r="P247">
        <f t="shared" si="7"/>
        <v>1</v>
      </c>
    </row>
    <row r="248" spans="1:16">
      <c r="A248" s="4" t="s">
        <v>83</v>
      </c>
      <c r="B248" s="6">
        <v>45717</v>
      </c>
      <c r="C248" s="4" t="s">
        <v>15</v>
      </c>
      <c r="D248" s="4" t="s">
        <v>18</v>
      </c>
      <c r="E248" s="4">
        <v>57390.04</v>
      </c>
      <c r="F248" s="4">
        <v>7374</v>
      </c>
      <c r="G248" s="4">
        <v>0.21</v>
      </c>
      <c r="H248" s="4">
        <v>21</v>
      </c>
      <c r="I248" s="4">
        <v>91.8</v>
      </c>
      <c r="J248" s="4">
        <v>0.2</v>
      </c>
      <c r="K248" s="4">
        <v>0</v>
      </c>
      <c r="L248" s="4">
        <v>3.1</v>
      </c>
      <c r="M248" s="4">
        <v>679230.86</v>
      </c>
      <c r="N248" s="4">
        <v>106927.58</v>
      </c>
      <c r="O248">
        <f t="shared" si="6"/>
        <v>0</v>
      </c>
      <c r="P248">
        <f t="shared" si="7"/>
        <v>1</v>
      </c>
    </row>
    <row r="249" spans="1:16">
      <c r="A249" s="4" t="s">
        <v>83</v>
      </c>
      <c r="B249" s="6">
        <v>45748</v>
      </c>
      <c r="C249" s="4" t="s">
        <v>15</v>
      </c>
      <c r="D249" s="4" t="s">
        <v>18</v>
      </c>
      <c r="E249" s="4">
        <v>21536.18</v>
      </c>
      <c r="F249" s="4">
        <v>8119</v>
      </c>
      <c r="G249" s="4">
        <v>0.22700000000000001</v>
      </c>
      <c r="H249" s="4">
        <v>20</v>
      </c>
      <c r="I249" s="4">
        <v>90.4</v>
      </c>
      <c r="J249" s="4">
        <v>1.7</v>
      </c>
      <c r="K249" s="4">
        <v>0</v>
      </c>
      <c r="L249" s="4">
        <v>3.3</v>
      </c>
      <c r="M249" s="4">
        <v>679888.74</v>
      </c>
      <c r="N249" s="4">
        <v>83406.89</v>
      </c>
      <c r="O249">
        <f t="shared" si="6"/>
        <v>0</v>
      </c>
      <c r="P249">
        <f t="shared" si="7"/>
        <v>1</v>
      </c>
    </row>
    <row r="250" spans="1:16">
      <c r="A250" s="4" t="s">
        <v>84</v>
      </c>
      <c r="B250" s="6">
        <v>45658</v>
      </c>
      <c r="C250" s="4" t="s">
        <v>20</v>
      </c>
      <c r="D250" s="4" t="s">
        <v>18</v>
      </c>
      <c r="E250" s="4">
        <v>40923.67</v>
      </c>
      <c r="F250" s="4">
        <v>3875</v>
      </c>
      <c r="G250" s="4">
        <v>0.15</v>
      </c>
      <c r="H250" s="4">
        <v>10</v>
      </c>
      <c r="I250" s="4">
        <v>96.1</v>
      </c>
      <c r="J250" s="4"/>
      <c r="K250" s="4">
        <v>0</v>
      </c>
      <c r="L250" s="4">
        <v>3.8</v>
      </c>
      <c r="M250" s="4">
        <v>606783.67000000004</v>
      </c>
      <c r="N250" s="4">
        <v>74515.87</v>
      </c>
      <c r="O250">
        <f t="shared" si="6"/>
        <v>0</v>
      </c>
      <c r="P250">
        <f t="shared" si="7"/>
        <v>1</v>
      </c>
    </row>
    <row r="251" spans="1:16">
      <c r="A251" s="4" t="s">
        <v>84</v>
      </c>
      <c r="B251" s="6">
        <v>45689</v>
      </c>
      <c r="C251" s="4" t="s">
        <v>20</v>
      </c>
      <c r="D251" s="4" t="s">
        <v>18</v>
      </c>
      <c r="E251" s="4">
        <v>72932.55</v>
      </c>
      <c r="F251" s="4">
        <v>5765</v>
      </c>
      <c r="G251" s="4">
        <v>2.5999999999999999E-2</v>
      </c>
      <c r="H251" s="4">
        <v>17</v>
      </c>
      <c r="I251" s="4">
        <v>81.8</v>
      </c>
      <c r="J251" s="4">
        <v>5.0999999999999996</v>
      </c>
      <c r="K251" s="4">
        <v>0</v>
      </c>
      <c r="L251" s="4">
        <v>3.6</v>
      </c>
      <c r="M251" s="4">
        <v>642751.42000000004</v>
      </c>
      <c r="N251" s="4">
        <v>131942.15</v>
      </c>
      <c r="O251">
        <f t="shared" si="6"/>
        <v>0</v>
      </c>
      <c r="P251">
        <f t="shared" si="7"/>
        <v>1</v>
      </c>
    </row>
    <row r="252" spans="1:16">
      <c r="A252" s="4" t="s">
        <v>84</v>
      </c>
      <c r="B252" s="6">
        <v>45717</v>
      </c>
      <c r="C252" s="4" t="s">
        <v>20</v>
      </c>
      <c r="D252" s="4" t="s">
        <v>18</v>
      </c>
      <c r="E252" s="4">
        <v>38361.93</v>
      </c>
      <c r="F252" s="4">
        <v>6322</v>
      </c>
      <c r="G252" s="4">
        <v>0.27300000000000002</v>
      </c>
      <c r="H252" s="4">
        <v>15</v>
      </c>
      <c r="I252" s="4">
        <v>88.4</v>
      </c>
      <c r="J252" s="4">
        <v>0.83</v>
      </c>
      <c r="K252" s="4">
        <v>0</v>
      </c>
      <c r="L252" s="4">
        <v>4</v>
      </c>
      <c r="M252" s="4">
        <v>647953.78</v>
      </c>
      <c r="N252" s="4">
        <v>118497.43</v>
      </c>
      <c r="O252">
        <f t="shared" si="6"/>
        <v>0</v>
      </c>
      <c r="P252">
        <f t="shared" si="7"/>
        <v>1</v>
      </c>
    </row>
    <row r="253" spans="1:16">
      <c r="A253" s="4" t="s">
        <v>84</v>
      </c>
      <c r="B253" s="6">
        <v>45748</v>
      </c>
      <c r="C253" s="4" t="s">
        <v>20</v>
      </c>
      <c r="D253" s="4" t="s">
        <v>18</v>
      </c>
      <c r="E253" s="4">
        <v>97480.94</v>
      </c>
      <c r="F253" s="4">
        <v>6840</v>
      </c>
      <c r="G253" s="4">
        <v>8.6999999999999994E-2</v>
      </c>
      <c r="H253" s="4">
        <v>14</v>
      </c>
      <c r="I253" s="4">
        <v>79.2</v>
      </c>
      <c r="J253" s="4">
        <v>1.1399999999999999</v>
      </c>
      <c r="K253" s="4">
        <v>0</v>
      </c>
      <c r="L253" s="4">
        <v>4</v>
      </c>
      <c r="M253" s="4">
        <v>729440.45</v>
      </c>
      <c r="N253" s="4">
        <v>87614.29</v>
      </c>
      <c r="O253">
        <f t="shared" si="6"/>
        <v>0</v>
      </c>
      <c r="P253">
        <f t="shared" si="7"/>
        <v>1</v>
      </c>
    </row>
    <row r="254" spans="1:16">
      <c r="A254" s="4" t="s">
        <v>85</v>
      </c>
      <c r="B254" s="6">
        <v>45658</v>
      </c>
      <c r="C254" s="4" t="s">
        <v>24</v>
      </c>
      <c r="D254" s="4" t="s">
        <v>21</v>
      </c>
      <c r="E254" s="4">
        <v>81801.8</v>
      </c>
      <c r="F254" s="4">
        <v>6782</v>
      </c>
      <c r="G254" s="4">
        <v>0.05</v>
      </c>
      <c r="H254" s="4">
        <v>16</v>
      </c>
      <c r="I254" s="4">
        <v>99</v>
      </c>
      <c r="J254" s="4">
        <v>9.5399999999999991</v>
      </c>
      <c r="K254" s="4">
        <v>0</v>
      </c>
      <c r="L254" s="4">
        <v>3.7</v>
      </c>
      <c r="M254" s="4">
        <v>764949</v>
      </c>
      <c r="N254" s="4">
        <v>148322.43</v>
      </c>
      <c r="O254">
        <f t="shared" si="6"/>
        <v>0</v>
      </c>
      <c r="P254">
        <f t="shared" si="7"/>
        <v>0</v>
      </c>
    </row>
    <row r="255" spans="1:16">
      <c r="A255" s="4" t="s">
        <v>85</v>
      </c>
      <c r="B255" s="6">
        <v>45689</v>
      </c>
      <c r="C255" s="4" t="s">
        <v>24</v>
      </c>
      <c r="D255" s="4" t="s">
        <v>21</v>
      </c>
      <c r="E255" s="4">
        <v>63582.11</v>
      </c>
      <c r="F255" s="4">
        <v>6856</v>
      </c>
      <c r="G255" s="4">
        <v>7.3999999999999996E-2</v>
      </c>
      <c r="H255" s="4">
        <v>17</v>
      </c>
      <c r="I255" s="4">
        <v>89.5</v>
      </c>
      <c r="J255" s="4">
        <v>5.48</v>
      </c>
      <c r="K255" s="4">
        <v>0</v>
      </c>
      <c r="L255" s="4">
        <v>3.2</v>
      </c>
      <c r="M255" s="4">
        <v>799046.94</v>
      </c>
      <c r="N255" s="4">
        <v>144553.64000000001</v>
      </c>
      <c r="O255">
        <f t="shared" si="6"/>
        <v>0</v>
      </c>
      <c r="P255">
        <f t="shared" si="7"/>
        <v>0</v>
      </c>
    </row>
    <row r="256" spans="1:16">
      <c r="A256" s="4" t="s">
        <v>85</v>
      </c>
      <c r="B256" s="6">
        <v>45717</v>
      </c>
      <c r="C256" s="4" t="s">
        <v>24</v>
      </c>
      <c r="D256" s="4" t="s">
        <v>21</v>
      </c>
      <c r="E256" s="4">
        <v>75412.740000000005</v>
      </c>
      <c r="F256" s="4">
        <v>5641</v>
      </c>
      <c r="G256" s="4">
        <v>5.8999999999999997E-2</v>
      </c>
      <c r="H256" s="4">
        <v>13</v>
      </c>
      <c r="I256" s="4">
        <v>87.9</v>
      </c>
      <c r="J256" s="4">
        <v>0.84</v>
      </c>
      <c r="K256" s="4">
        <v>0</v>
      </c>
      <c r="L256" s="4">
        <v>3.6</v>
      </c>
      <c r="M256" s="4">
        <v>720079.54</v>
      </c>
      <c r="N256" s="4">
        <v>119499.47</v>
      </c>
      <c r="O256">
        <f t="shared" si="6"/>
        <v>0</v>
      </c>
      <c r="P256">
        <f t="shared" si="7"/>
        <v>0</v>
      </c>
    </row>
    <row r="257" spans="1:16">
      <c r="A257" s="4" t="s">
        <v>85</v>
      </c>
      <c r="B257" s="6">
        <v>45748</v>
      </c>
      <c r="C257" s="4" t="s">
        <v>24</v>
      </c>
      <c r="D257" s="4" t="s">
        <v>21</v>
      </c>
      <c r="E257" s="4">
        <v>36290.080000000002</v>
      </c>
      <c r="F257" s="4">
        <v>5787</v>
      </c>
      <c r="G257" s="4">
        <v>0</v>
      </c>
      <c r="H257" s="4">
        <v>17</v>
      </c>
      <c r="I257" s="4">
        <v>88.3</v>
      </c>
      <c r="J257" s="4">
        <v>4.1900000000000004</v>
      </c>
      <c r="K257" s="4">
        <v>0</v>
      </c>
      <c r="L257" s="4">
        <v>4.0999999999999996</v>
      </c>
      <c r="M257" s="4">
        <v>612390.14</v>
      </c>
      <c r="N257" s="4">
        <v>108985.74</v>
      </c>
      <c r="O257">
        <f t="shared" si="6"/>
        <v>0</v>
      </c>
      <c r="P257">
        <f t="shared" si="7"/>
        <v>0</v>
      </c>
    </row>
    <row r="258" spans="1:16">
      <c r="A258" s="4" t="s">
        <v>86</v>
      </c>
      <c r="B258" s="6">
        <v>45658</v>
      </c>
      <c r="C258" s="4" t="s">
        <v>24</v>
      </c>
      <c r="D258" s="4" t="s">
        <v>28</v>
      </c>
      <c r="E258" s="4">
        <v>65272.58</v>
      </c>
      <c r="F258" s="4">
        <v>8165</v>
      </c>
      <c r="G258" s="4">
        <v>5.0999999999999997E-2</v>
      </c>
      <c r="H258" s="4">
        <v>19</v>
      </c>
      <c r="I258" s="4">
        <v>87.8</v>
      </c>
      <c r="J258" s="4">
        <v>1.26</v>
      </c>
      <c r="K258" s="4">
        <v>1</v>
      </c>
      <c r="L258" s="4">
        <v>4.3</v>
      </c>
      <c r="M258" s="4">
        <v>840108.12</v>
      </c>
      <c r="N258" s="4">
        <v>126587.01</v>
      </c>
      <c r="O258">
        <f t="shared" si="6"/>
        <v>0</v>
      </c>
      <c r="P258">
        <f t="shared" si="7"/>
        <v>0</v>
      </c>
    </row>
    <row r="259" spans="1:16">
      <c r="A259" s="4" t="s">
        <v>86</v>
      </c>
      <c r="B259" s="6">
        <v>45689</v>
      </c>
      <c r="C259" s="4" t="s">
        <v>24</v>
      </c>
      <c r="D259" s="4" t="s">
        <v>28</v>
      </c>
      <c r="E259" s="4">
        <v>28670.43</v>
      </c>
      <c r="F259" s="4">
        <v>7574</v>
      </c>
      <c r="G259" s="4">
        <v>0.114</v>
      </c>
      <c r="H259" s="4">
        <v>19</v>
      </c>
      <c r="I259" s="4">
        <v>82.7</v>
      </c>
      <c r="J259" s="4">
        <v>2.74</v>
      </c>
      <c r="K259" s="4">
        <v>0</v>
      </c>
      <c r="L259" s="4">
        <v>4.5999999999999996</v>
      </c>
      <c r="M259" s="4">
        <v>697888.09</v>
      </c>
      <c r="N259" s="4">
        <v>116249.87</v>
      </c>
      <c r="O259">
        <f t="shared" ref="O259:O321" si="8">IF(D259="Residential",1,0)</f>
        <v>0</v>
      </c>
      <c r="P259">
        <f t="shared" ref="P259:P321" si="9">IF(D259="High Street",1,0)</f>
        <v>0</v>
      </c>
    </row>
    <row r="260" spans="1:16">
      <c r="A260" s="4" t="s">
        <v>86</v>
      </c>
      <c r="B260" s="6">
        <v>45717</v>
      </c>
      <c r="C260" s="4" t="s">
        <v>24</v>
      </c>
      <c r="D260" s="4" t="s">
        <v>28</v>
      </c>
      <c r="E260" s="4">
        <v>44189.34</v>
      </c>
      <c r="F260" s="4">
        <v>8634</v>
      </c>
      <c r="G260" s="4">
        <v>0.14299999999999999</v>
      </c>
      <c r="H260" s="4">
        <v>19</v>
      </c>
      <c r="I260" s="4">
        <v>87.5</v>
      </c>
      <c r="J260" s="4">
        <v>3.69</v>
      </c>
      <c r="K260" s="4">
        <v>0</v>
      </c>
      <c r="L260" s="4">
        <v>4.4000000000000004</v>
      </c>
      <c r="M260" s="4">
        <v>746115.59</v>
      </c>
      <c r="N260" s="4">
        <v>94662.96</v>
      </c>
      <c r="O260">
        <f t="shared" si="8"/>
        <v>0</v>
      </c>
      <c r="P260">
        <f t="shared" si="9"/>
        <v>0</v>
      </c>
    </row>
    <row r="261" spans="1:16">
      <c r="A261" s="4" t="s">
        <v>86</v>
      </c>
      <c r="B261" s="6">
        <v>45748</v>
      </c>
      <c r="C261" s="4" t="s">
        <v>24</v>
      </c>
      <c r="D261" s="4" t="s">
        <v>28</v>
      </c>
      <c r="E261" s="4">
        <v>38397.82</v>
      </c>
      <c r="F261" s="4">
        <v>7836</v>
      </c>
      <c r="G261" s="4">
        <v>7.0000000000000001E-3</v>
      </c>
      <c r="H261" s="4">
        <v>21</v>
      </c>
      <c r="I261" s="4">
        <v>92.2</v>
      </c>
      <c r="J261" s="4">
        <v>1.82</v>
      </c>
      <c r="K261" s="4">
        <v>0</v>
      </c>
      <c r="L261" s="4">
        <v>3.6</v>
      </c>
      <c r="M261" s="4">
        <v>776110.32</v>
      </c>
      <c r="N261" s="4">
        <v>139676.21</v>
      </c>
      <c r="O261">
        <f t="shared" si="8"/>
        <v>0</v>
      </c>
      <c r="P261">
        <f t="shared" si="9"/>
        <v>0</v>
      </c>
    </row>
    <row r="262" spans="1:16">
      <c r="A262" s="4" t="s">
        <v>87</v>
      </c>
      <c r="B262" s="6">
        <v>45658</v>
      </c>
      <c r="C262" s="4" t="s">
        <v>27</v>
      </c>
      <c r="D262" s="4" t="s">
        <v>18</v>
      </c>
      <c r="E262" s="4">
        <v>14519.37</v>
      </c>
      <c r="F262" s="4">
        <v>3047</v>
      </c>
      <c r="G262" s="4">
        <v>0.13500000000000001</v>
      </c>
      <c r="H262" s="4">
        <v>10</v>
      </c>
      <c r="I262" s="4">
        <v>90.3</v>
      </c>
      <c r="J262" s="4">
        <v>6.62</v>
      </c>
      <c r="K262" s="4">
        <v>0</v>
      </c>
      <c r="L262" s="4">
        <v>4.2</v>
      </c>
      <c r="M262" s="4">
        <v>528852.62</v>
      </c>
      <c r="N262" s="4">
        <v>68426.210000000006</v>
      </c>
      <c r="O262">
        <f t="shared" si="8"/>
        <v>0</v>
      </c>
      <c r="P262">
        <f t="shared" si="9"/>
        <v>1</v>
      </c>
    </row>
    <row r="263" spans="1:16">
      <c r="A263" s="4" t="s">
        <v>87</v>
      </c>
      <c r="B263" s="6">
        <v>45689</v>
      </c>
      <c r="C263" s="4" t="s">
        <v>27</v>
      </c>
      <c r="D263" s="4" t="s">
        <v>18</v>
      </c>
      <c r="E263" s="4">
        <v>43288.2</v>
      </c>
      <c r="F263" s="4">
        <v>4783</v>
      </c>
      <c r="G263" s="4">
        <v>0.16900000000000001</v>
      </c>
      <c r="H263" s="4">
        <v>13</v>
      </c>
      <c r="I263" s="4">
        <v>87.3</v>
      </c>
      <c r="J263" s="4"/>
      <c r="K263" s="4">
        <v>0</v>
      </c>
      <c r="L263" s="4">
        <v>4.2</v>
      </c>
      <c r="M263" s="4">
        <v>605751.32999999996</v>
      </c>
      <c r="N263" s="4">
        <v>60685.53</v>
      </c>
      <c r="O263">
        <f t="shared" si="8"/>
        <v>0</v>
      </c>
      <c r="P263">
        <f t="shared" si="9"/>
        <v>1</v>
      </c>
    </row>
    <row r="264" spans="1:16">
      <c r="A264" s="4" t="s">
        <v>87</v>
      </c>
      <c r="B264" s="6">
        <v>45717</v>
      </c>
      <c r="C264" s="4" t="s">
        <v>27</v>
      </c>
      <c r="D264" s="4" t="s">
        <v>18</v>
      </c>
      <c r="E264" s="4">
        <v>51450.55</v>
      </c>
      <c r="F264" s="4">
        <v>4902</v>
      </c>
      <c r="G264" s="4">
        <v>8.5999999999999993E-2</v>
      </c>
      <c r="H264" s="4">
        <v>11</v>
      </c>
      <c r="I264" s="4">
        <v>83.7</v>
      </c>
      <c r="J264" s="4">
        <v>6.92</v>
      </c>
      <c r="K264" s="4">
        <v>1</v>
      </c>
      <c r="L264" s="4">
        <v>4.2</v>
      </c>
      <c r="M264" s="4">
        <v>677640.65</v>
      </c>
      <c r="N264" s="4">
        <v>111610.89</v>
      </c>
      <c r="O264">
        <f t="shared" si="8"/>
        <v>0</v>
      </c>
      <c r="P264">
        <f t="shared" si="9"/>
        <v>1</v>
      </c>
    </row>
    <row r="265" spans="1:16">
      <c r="A265" s="4" t="s">
        <v>87</v>
      </c>
      <c r="B265" s="6">
        <v>45748</v>
      </c>
      <c r="C265" s="4" t="s">
        <v>27</v>
      </c>
      <c r="D265" s="4" t="s">
        <v>18</v>
      </c>
      <c r="E265" s="4">
        <v>58688.26</v>
      </c>
      <c r="F265" s="4">
        <v>4022</v>
      </c>
      <c r="G265" s="4">
        <v>0.217</v>
      </c>
      <c r="H265" s="4">
        <v>12</v>
      </c>
      <c r="I265" s="4">
        <v>93.8</v>
      </c>
      <c r="J265" s="4">
        <v>11.78</v>
      </c>
      <c r="K265" s="4">
        <v>0</v>
      </c>
      <c r="L265" s="4">
        <v>3.7</v>
      </c>
      <c r="M265" s="4">
        <v>636613.23</v>
      </c>
      <c r="N265" s="4">
        <v>78908.350000000006</v>
      </c>
      <c r="O265">
        <f t="shared" si="8"/>
        <v>0</v>
      </c>
      <c r="P265">
        <f t="shared" si="9"/>
        <v>1</v>
      </c>
    </row>
    <row r="266" spans="1:16">
      <c r="A266" s="4" t="s">
        <v>88</v>
      </c>
      <c r="B266" s="6">
        <v>45658</v>
      </c>
      <c r="C266" s="4" t="s">
        <v>15</v>
      </c>
      <c r="D266" s="4" t="s">
        <v>18</v>
      </c>
      <c r="E266" s="4">
        <v>58981.91</v>
      </c>
      <c r="F266" s="4">
        <v>7324</v>
      </c>
      <c r="G266" s="4">
        <v>9.4E-2</v>
      </c>
      <c r="H266" s="4">
        <v>15</v>
      </c>
      <c r="I266" s="4">
        <v>95.8</v>
      </c>
      <c r="J266" s="4">
        <v>0.5</v>
      </c>
      <c r="K266" s="4">
        <v>0</v>
      </c>
      <c r="L266" s="4">
        <v>3.5</v>
      </c>
      <c r="M266" s="4">
        <v>708985.19</v>
      </c>
      <c r="N266" s="4">
        <v>125368.16</v>
      </c>
      <c r="O266">
        <f t="shared" si="8"/>
        <v>0</v>
      </c>
      <c r="P266">
        <f t="shared" si="9"/>
        <v>1</v>
      </c>
    </row>
    <row r="267" spans="1:16">
      <c r="A267" s="4" t="s">
        <v>88</v>
      </c>
      <c r="B267" s="6">
        <v>45689</v>
      </c>
      <c r="C267" s="4" t="s">
        <v>15</v>
      </c>
      <c r="D267" s="4" t="s">
        <v>18</v>
      </c>
      <c r="E267" s="4">
        <v>73454.539999999994</v>
      </c>
      <c r="F267" s="4">
        <v>8129</v>
      </c>
      <c r="G267" s="4">
        <v>0.21099999999999999</v>
      </c>
      <c r="H267" s="4">
        <v>20</v>
      </c>
      <c r="I267" s="4">
        <v>85.2</v>
      </c>
      <c r="J267" s="4">
        <v>0.88</v>
      </c>
      <c r="K267" s="4">
        <v>0</v>
      </c>
      <c r="L267" s="4">
        <v>3.7</v>
      </c>
      <c r="M267" s="4">
        <v>767792.94</v>
      </c>
      <c r="N267" s="4">
        <v>96235.77</v>
      </c>
      <c r="O267">
        <f t="shared" si="8"/>
        <v>0</v>
      </c>
      <c r="P267">
        <f t="shared" si="9"/>
        <v>1</v>
      </c>
    </row>
    <row r="268" spans="1:16">
      <c r="A268" s="4" t="s">
        <v>88</v>
      </c>
      <c r="B268" s="6">
        <v>45717</v>
      </c>
      <c r="C268" s="4" t="s">
        <v>15</v>
      </c>
      <c r="D268" s="4" t="s">
        <v>18</v>
      </c>
      <c r="E268" s="4">
        <v>56602.39</v>
      </c>
      <c r="F268" s="4">
        <v>7969</v>
      </c>
      <c r="G268" s="4">
        <v>0.17</v>
      </c>
      <c r="H268" s="4">
        <v>21</v>
      </c>
      <c r="I268" s="4">
        <v>88.3</v>
      </c>
      <c r="J268" s="4">
        <v>2.25</v>
      </c>
      <c r="K268" s="4">
        <v>0</v>
      </c>
      <c r="L268" s="4">
        <v>3.7</v>
      </c>
      <c r="M268" s="4">
        <v>745580.51</v>
      </c>
      <c r="N268" s="4">
        <v>116273.68</v>
      </c>
      <c r="O268">
        <f t="shared" si="8"/>
        <v>0</v>
      </c>
      <c r="P268">
        <f t="shared" si="9"/>
        <v>1</v>
      </c>
    </row>
    <row r="269" spans="1:16">
      <c r="A269" s="4" t="s">
        <v>88</v>
      </c>
      <c r="B269" s="6">
        <v>45748</v>
      </c>
      <c r="C269" s="4" t="s">
        <v>15</v>
      </c>
      <c r="D269" s="4" t="s">
        <v>18</v>
      </c>
      <c r="E269" s="4">
        <v>67722.289999999994</v>
      </c>
      <c r="F269" s="4">
        <v>7240</v>
      </c>
      <c r="G269" s="4">
        <v>2.5999999999999999E-2</v>
      </c>
      <c r="H269" s="4">
        <v>15</v>
      </c>
      <c r="I269" s="4">
        <v>92.9</v>
      </c>
      <c r="J269" s="4">
        <v>0.28999999999999998</v>
      </c>
      <c r="K269" s="4">
        <v>0</v>
      </c>
      <c r="L269" s="4">
        <v>3.5</v>
      </c>
      <c r="M269" s="4">
        <v>762328.31</v>
      </c>
      <c r="N269" s="4">
        <v>159158.19</v>
      </c>
      <c r="O269">
        <f t="shared" si="8"/>
        <v>0</v>
      </c>
      <c r="P269">
        <f t="shared" si="9"/>
        <v>1</v>
      </c>
    </row>
    <row r="270" spans="1:16">
      <c r="A270" s="4" t="s">
        <v>89</v>
      </c>
      <c r="B270" s="6">
        <v>45658</v>
      </c>
      <c r="C270" s="4" t="s">
        <v>15</v>
      </c>
      <c r="D270" s="4" t="s">
        <v>28</v>
      </c>
      <c r="E270" s="4">
        <v>48752.92</v>
      </c>
      <c r="F270" s="4">
        <v>8052</v>
      </c>
      <c r="G270" s="4">
        <v>0.106</v>
      </c>
      <c r="H270" s="4">
        <v>16</v>
      </c>
      <c r="I270" s="4">
        <v>94.9</v>
      </c>
      <c r="J270" s="4">
        <v>0.65</v>
      </c>
      <c r="K270" s="4">
        <v>0</v>
      </c>
      <c r="L270" s="4">
        <v>3.6</v>
      </c>
      <c r="M270" s="4">
        <v>660633.99</v>
      </c>
      <c r="N270" s="4">
        <v>118768.66</v>
      </c>
      <c r="O270">
        <f t="shared" si="8"/>
        <v>0</v>
      </c>
      <c r="P270">
        <f t="shared" si="9"/>
        <v>0</v>
      </c>
    </row>
    <row r="271" spans="1:16">
      <c r="A271" s="4" t="s">
        <v>89</v>
      </c>
      <c r="B271" s="6">
        <v>45689</v>
      </c>
      <c r="C271" s="4" t="s">
        <v>15</v>
      </c>
      <c r="D271" s="4" t="s">
        <v>28</v>
      </c>
      <c r="E271" s="4">
        <v>23914.97</v>
      </c>
      <c r="F271" s="4">
        <v>8018</v>
      </c>
      <c r="G271" s="4">
        <v>0.13900000000000001</v>
      </c>
      <c r="H271" s="4">
        <v>20</v>
      </c>
      <c r="I271" s="4">
        <v>89</v>
      </c>
      <c r="J271" s="4">
        <v>0.2</v>
      </c>
      <c r="K271" s="4">
        <v>0</v>
      </c>
      <c r="L271" s="4">
        <v>3.5</v>
      </c>
      <c r="M271" s="4">
        <v>739374.56</v>
      </c>
      <c r="N271" s="4">
        <v>121032.29</v>
      </c>
      <c r="O271">
        <f t="shared" si="8"/>
        <v>0</v>
      </c>
      <c r="P271">
        <f t="shared" si="9"/>
        <v>0</v>
      </c>
    </row>
    <row r="272" spans="1:16">
      <c r="A272" s="4" t="s">
        <v>89</v>
      </c>
      <c r="B272" s="6">
        <v>45717</v>
      </c>
      <c r="C272" s="4" t="s">
        <v>15</v>
      </c>
      <c r="D272" s="4" t="s">
        <v>28</v>
      </c>
      <c r="E272" s="4">
        <v>61995.3</v>
      </c>
      <c r="F272" s="4">
        <v>10192</v>
      </c>
      <c r="G272" s="4">
        <v>0.19800000000000001</v>
      </c>
      <c r="H272" s="4">
        <v>21</v>
      </c>
      <c r="I272" s="4">
        <v>87.6</v>
      </c>
      <c r="J272" s="4">
        <v>3.63</v>
      </c>
      <c r="K272" s="4">
        <v>1</v>
      </c>
      <c r="L272" s="4">
        <v>3.8</v>
      </c>
      <c r="M272" s="4">
        <v>799756.46</v>
      </c>
      <c r="N272" s="4">
        <v>105052.93</v>
      </c>
      <c r="O272">
        <f t="shared" si="8"/>
        <v>0</v>
      </c>
      <c r="P272">
        <f t="shared" si="9"/>
        <v>0</v>
      </c>
    </row>
    <row r="273" spans="1:16">
      <c r="A273" s="4" t="s">
        <v>89</v>
      </c>
      <c r="B273" s="6">
        <v>45748</v>
      </c>
      <c r="C273" s="4" t="s">
        <v>15</v>
      </c>
      <c r="D273" s="4" t="s">
        <v>28</v>
      </c>
      <c r="E273" s="4">
        <v>29344.93</v>
      </c>
      <c r="F273" s="4">
        <v>7446</v>
      </c>
      <c r="G273" s="4">
        <v>0.111</v>
      </c>
      <c r="H273" s="4">
        <v>15</v>
      </c>
      <c r="I273" s="4">
        <v>86.2</v>
      </c>
      <c r="J273" s="4">
        <v>0.2</v>
      </c>
      <c r="K273" s="4">
        <v>0</v>
      </c>
      <c r="L273" s="4">
        <v>3.2</v>
      </c>
      <c r="M273" s="4">
        <v>593343</v>
      </c>
      <c r="N273" s="4">
        <v>82832.240000000005</v>
      </c>
      <c r="O273">
        <f t="shared" si="8"/>
        <v>0</v>
      </c>
      <c r="P273">
        <f t="shared" si="9"/>
        <v>0</v>
      </c>
    </row>
    <row r="274" spans="1:16">
      <c r="A274" s="4" t="s">
        <v>90</v>
      </c>
      <c r="B274" s="6">
        <v>45658</v>
      </c>
      <c r="C274" s="4" t="s">
        <v>27</v>
      </c>
      <c r="D274" s="4" t="s">
        <v>18</v>
      </c>
      <c r="E274" s="4">
        <v>50532.17</v>
      </c>
      <c r="F274" s="4">
        <v>5689</v>
      </c>
      <c r="G274" s="4">
        <v>5.1999999999999998E-2</v>
      </c>
      <c r="H274" s="4">
        <v>17</v>
      </c>
      <c r="I274" s="4">
        <v>85.6</v>
      </c>
      <c r="J274" s="4">
        <v>6.23</v>
      </c>
      <c r="K274" s="4">
        <v>0</v>
      </c>
      <c r="L274" s="4">
        <v>3.3</v>
      </c>
      <c r="M274" s="4">
        <v>645039.97</v>
      </c>
      <c r="N274" s="4">
        <v>83093.33</v>
      </c>
      <c r="O274">
        <f t="shared" si="8"/>
        <v>0</v>
      </c>
      <c r="P274">
        <f t="shared" si="9"/>
        <v>1</v>
      </c>
    </row>
    <row r="275" spans="1:16">
      <c r="A275" s="4" t="s">
        <v>90</v>
      </c>
      <c r="B275" s="6">
        <v>45689</v>
      </c>
      <c r="C275" s="4" t="s">
        <v>27</v>
      </c>
      <c r="D275" s="4" t="s">
        <v>18</v>
      </c>
      <c r="E275" s="4">
        <v>17562.57</v>
      </c>
      <c r="F275" s="4">
        <v>3326</v>
      </c>
      <c r="G275" s="4">
        <v>0.153</v>
      </c>
      <c r="H275" s="4">
        <v>14</v>
      </c>
      <c r="I275" s="4">
        <v>88.1</v>
      </c>
      <c r="J275" s="4">
        <v>1.04</v>
      </c>
      <c r="K275" s="4">
        <v>0</v>
      </c>
      <c r="L275" s="4">
        <v>3.1</v>
      </c>
      <c r="M275" s="4">
        <v>561597.32999999996</v>
      </c>
      <c r="N275" s="4">
        <v>75072.75</v>
      </c>
      <c r="O275">
        <f t="shared" si="8"/>
        <v>0</v>
      </c>
      <c r="P275">
        <f t="shared" si="9"/>
        <v>1</v>
      </c>
    </row>
    <row r="276" spans="1:16">
      <c r="A276" s="4" t="s">
        <v>90</v>
      </c>
      <c r="B276" s="6">
        <v>45717</v>
      </c>
      <c r="C276" s="4" t="s">
        <v>27</v>
      </c>
      <c r="D276" s="4" t="s">
        <v>18</v>
      </c>
      <c r="E276" s="4">
        <v>47648.71</v>
      </c>
      <c r="F276" s="4">
        <v>5767</v>
      </c>
      <c r="G276" s="4">
        <v>0.14099999999999999</v>
      </c>
      <c r="H276" s="4">
        <v>17</v>
      </c>
      <c r="I276" s="4">
        <v>89.8</v>
      </c>
      <c r="J276" s="4">
        <v>1.76</v>
      </c>
      <c r="K276" s="4">
        <v>0</v>
      </c>
      <c r="L276" s="4">
        <v>3.1</v>
      </c>
      <c r="M276" s="4">
        <v>635837.74</v>
      </c>
      <c r="N276" s="4">
        <v>114740.64</v>
      </c>
      <c r="O276">
        <f t="shared" si="8"/>
        <v>0</v>
      </c>
      <c r="P276">
        <f t="shared" si="9"/>
        <v>1</v>
      </c>
    </row>
    <row r="277" spans="1:16">
      <c r="A277" s="4" t="s">
        <v>90</v>
      </c>
      <c r="B277" s="6">
        <v>45748</v>
      </c>
      <c r="C277" s="4" t="s">
        <v>27</v>
      </c>
      <c r="D277" s="4" t="s">
        <v>18</v>
      </c>
      <c r="E277" s="4">
        <v>38297.58</v>
      </c>
      <c r="F277" s="4">
        <v>5893</v>
      </c>
      <c r="G277" s="4">
        <v>0.247</v>
      </c>
      <c r="H277" s="4">
        <v>18</v>
      </c>
      <c r="I277" s="4">
        <v>77.599999999999994</v>
      </c>
      <c r="J277" s="4">
        <v>2.86</v>
      </c>
      <c r="K277" s="4">
        <v>0</v>
      </c>
      <c r="L277" s="4">
        <v>3</v>
      </c>
      <c r="M277" s="4">
        <v>686737.87</v>
      </c>
      <c r="N277" s="4">
        <v>83839.67</v>
      </c>
      <c r="O277">
        <f t="shared" si="8"/>
        <v>0</v>
      </c>
      <c r="P277">
        <f t="shared" si="9"/>
        <v>1</v>
      </c>
    </row>
    <row r="278" spans="1:16">
      <c r="A278" s="4" t="s">
        <v>91</v>
      </c>
      <c r="B278" s="6">
        <v>45658</v>
      </c>
      <c r="C278" s="4" t="s">
        <v>24</v>
      </c>
      <c r="D278" s="4" t="s">
        <v>16</v>
      </c>
      <c r="E278" s="4">
        <v>61784.11</v>
      </c>
      <c r="F278" s="4">
        <v>8564</v>
      </c>
      <c r="G278" s="4">
        <v>0.13</v>
      </c>
      <c r="H278" s="4">
        <v>17</v>
      </c>
      <c r="I278" s="4">
        <v>87.4</v>
      </c>
      <c r="J278" s="4">
        <v>18.14</v>
      </c>
      <c r="K278" s="4">
        <v>1</v>
      </c>
      <c r="L278" s="4">
        <v>3.4</v>
      </c>
      <c r="M278" s="4">
        <v>673076.34</v>
      </c>
      <c r="N278" s="4">
        <v>93899.76</v>
      </c>
      <c r="O278">
        <f t="shared" si="8"/>
        <v>1</v>
      </c>
      <c r="P278">
        <f t="shared" si="9"/>
        <v>0</v>
      </c>
    </row>
    <row r="279" spans="1:16">
      <c r="A279" s="4" t="s">
        <v>91</v>
      </c>
      <c r="B279" s="6">
        <v>45689</v>
      </c>
      <c r="C279" s="4" t="s">
        <v>24</v>
      </c>
      <c r="D279" s="4" t="s">
        <v>16</v>
      </c>
      <c r="E279" s="4">
        <v>36832.33</v>
      </c>
      <c r="F279" s="4">
        <v>8001</v>
      </c>
      <c r="G279" s="4">
        <v>0</v>
      </c>
      <c r="H279" s="4">
        <v>19</v>
      </c>
      <c r="I279" s="4">
        <v>88.7</v>
      </c>
      <c r="J279" s="4">
        <v>3.39</v>
      </c>
      <c r="K279" s="4">
        <v>0</v>
      </c>
      <c r="L279" s="4">
        <v>4</v>
      </c>
      <c r="M279" s="4">
        <v>738548.42</v>
      </c>
      <c r="N279" s="4">
        <v>134282.76999999999</v>
      </c>
      <c r="O279">
        <f t="shared" si="8"/>
        <v>1</v>
      </c>
      <c r="P279">
        <f t="shared" si="9"/>
        <v>0</v>
      </c>
    </row>
    <row r="280" spans="1:16">
      <c r="A280" s="4" t="s">
        <v>91</v>
      </c>
      <c r="B280" s="6">
        <v>45717</v>
      </c>
      <c r="C280" s="4" t="s">
        <v>24</v>
      </c>
      <c r="D280" s="4" t="s">
        <v>16</v>
      </c>
      <c r="E280" s="4">
        <v>48609.41</v>
      </c>
      <c r="F280" s="4">
        <v>9324</v>
      </c>
      <c r="G280" s="4">
        <v>0.21299999999999999</v>
      </c>
      <c r="H280" s="4">
        <v>18</v>
      </c>
      <c r="I280" s="4">
        <v>86.5</v>
      </c>
      <c r="J280" s="4">
        <v>1.44</v>
      </c>
      <c r="K280" s="4">
        <v>0</v>
      </c>
      <c r="L280" s="4">
        <v>3.9</v>
      </c>
      <c r="M280" s="4">
        <v>756619.77</v>
      </c>
      <c r="N280" s="4">
        <v>112057.69</v>
      </c>
      <c r="O280">
        <f t="shared" si="8"/>
        <v>1</v>
      </c>
      <c r="P280">
        <f t="shared" si="9"/>
        <v>0</v>
      </c>
    </row>
    <row r="281" spans="1:16">
      <c r="A281" s="4" t="s">
        <v>91</v>
      </c>
      <c r="B281" s="6">
        <v>45748</v>
      </c>
      <c r="C281" s="4" t="s">
        <v>24</v>
      </c>
      <c r="D281" s="4" t="s">
        <v>16</v>
      </c>
      <c r="E281" s="4">
        <v>70284.06</v>
      </c>
      <c r="F281" s="4">
        <v>9109</v>
      </c>
      <c r="G281" s="4">
        <v>4.0000000000000001E-3</v>
      </c>
      <c r="H281" s="4">
        <v>23</v>
      </c>
      <c r="I281" s="4">
        <v>87</v>
      </c>
      <c r="J281" s="4">
        <v>3.65</v>
      </c>
      <c r="K281" s="4">
        <v>0</v>
      </c>
      <c r="L281" s="4">
        <v>3.7</v>
      </c>
      <c r="M281" s="4">
        <v>761122.42</v>
      </c>
      <c r="N281" s="4">
        <v>149802.04</v>
      </c>
      <c r="O281">
        <f t="shared" si="8"/>
        <v>1</v>
      </c>
      <c r="P281">
        <f t="shared" si="9"/>
        <v>0</v>
      </c>
    </row>
    <row r="282" spans="1:16">
      <c r="A282" s="4" t="s">
        <v>92</v>
      </c>
      <c r="B282" s="6">
        <v>45658</v>
      </c>
      <c r="C282" s="4" t="s">
        <v>24</v>
      </c>
      <c r="D282" s="4" t="s">
        <v>18</v>
      </c>
      <c r="E282" s="4">
        <v>45940.39</v>
      </c>
      <c r="F282" s="4">
        <v>4022</v>
      </c>
      <c r="G282" s="4">
        <v>6.9000000000000006E-2</v>
      </c>
      <c r="H282" s="4">
        <v>10</v>
      </c>
      <c r="I282" s="4">
        <v>83</v>
      </c>
      <c r="J282" s="4">
        <v>1.23</v>
      </c>
      <c r="K282" s="4">
        <v>1</v>
      </c>
      <c r="L282" s="4">
        <v>3.8</v>
      </c>
      <c r="M282" s="4">
        <v>524899.56999999995</v>
      </c>
      <c r="N282" s="4">
        <v>63619.98</v>
      </c>
      <c r="O282">
        <f t="shared" si="8"/>
        <v>0</v>
      </c>
      <c r="P282">
        <f t="shared" si="9"/>
        <v>1</v>
      </c>
    </row>
    <row r="283" spans="1:16">
      <c r="A283" s="4" t="s">
        <v>92</v>
      </c>
      <c r="B283" s="6">
        <v>45689</v>
      </c>
      <c r="C283" s="4" t="s">
        <v>24</v>
      </c>
      <c r="D283" s="4" t="s">
        <v>18</v>
      </c>
      <c r="E283" s="4">
        <v>34771.26</v>
      </c>
      <c r="F283" s="4">
        <v>4355</v>
      </c>
      <c r="G283" s="4">
        <v>5.0999999999999997E-2</v>
      </c>
      <c r="H283" s="4">
        <v>15</v>
      </c>
      <c r="I283" s="4">
        <v>87.9</v>
      </c>
      <c r="J283" s="4">
        <v>3.09</v>
      </c>
      <c r="K283" s="4">
        <v>0</v>
      </c>
      <c r="L283" s="4">
        <v>4</v>
      </c>
      <c r="M283" s="4">
        <v>555557.77</v>
      </c>
      <c r="N283" s="4">
        <v>86475.51</v>
      </c>
      <c r="O283">
        <f t="shared" si="8"/>
        <v>0</v>
      </c>
      <c r="P283">
        <f t="shared" si="9"/>
        <v>1</v>
      </c>
    </row>
    <row r="284" spans="1:16">
      <c r="A284" s="4" t="s">
        <v>92</v>
      </c>
      <c r="B284" s="6">
        <v>45717</v>
      </c>
      <c r="C284" s="4" t="s">
        <v>24</v>
      </c>
      <c r="D284" s="4" t="s">
        <v>18</v>
      </c>
      <c r="E284" s="4">
        <v>66104.19</v>
      </c>
      <c r="F284" s="4">
        <v>5745</v>
      </c>
      <c r="G284" s="4">
        <v>7.0000000000000007E-2</v>
      </c>
      <c r="H284" s="4">
        <v>17</v>
      </c>
      <c r="I284" s="4">
        <v>95.8</v>
      </c>
      <c r="J284" s="4">
        <v>3.15</v>
      </c>
      <c r="K284" s="4">
        <v>0</v>
      </c>
      <c r="L284" s="4">
        <v>4</v>
      </c>
      <c r="M284" s="4">
        <v>714083.68</v>
      </c>
      <c r="N284" s="4">
        <v>127231.74</v>
      </c>
      <c r="O284">
        <f t="shared" si="8"/>
        <v>0</v>
      </c>
      <c r="P284">
        <f t="shared" si="9"/>
        <v>1</v>
      </c>
    </row>
    <row r="285" spans="1:16">
      <c r="A285" s="4" t="s">
        <v>92</v>
      </c>
      <c r="B285" s="6">
        <v>45748</v>
      </c>
      <c r="C285" s="4" t="s">
        <v>24</v>
      </c>
      <c r="D285" s="4" t="s">
        <v>18</v>
      </c>
      <c r="E285" s="4">
        <v>18599.21</v>
      </c>
      <c r="F285" s="4">
        <v>3027</v>
      </c>
      <c r="G285" s="4">
        <v>0.122</v>
      </c>
      <c r="H285" s="4">
        <v>11</v>
      </c>
      <c r="I285" s="4">
        <v>80.900000000000006</v>
      </c>
      <c r="J285" s="4">
        <v>6.44</v>
      </c>
      <c r="K285" s="4">
        <v>0</v>
      </c>
      <c r="L285" s="4">
        <v>4.2</v>
      </c>
      <c r="M285" s="4">
        <v>497439.82</v>
      </c>
      <c r="N285" s="4">
        <v>93372.75</v>
      </c>
      <c r="O285">
        <f t="shared" si="8"/>
        <v>0</v>
      </c>
      <c r="P285">
        <f t="shared" si="9"/>
        <v>1</v>
      </c>
    </row>
    <row r="286" spans="1:16">
      <c r="A286" s="4" t="s">
        <v>93</v>
      </c>
      <c r="B286" s="6">
        <v>45658</v>
      </c>
      <c r="C286" s="4" t="s">
        <v>27</v>
      </c>
      <c r="D286" s="4" t="s">
        <v>16</v>
      </c>
      <c r="E286" s="4">
        <v>60183.06</v>
      </c>
      <c r="F286" s="4">
        <v>5562</v>
      </c>
      <c r="G286" s="4">
        <v>8.9999999999999993E-3</v>
      </c>
      <c r="H286" s="4">
        <v>13</v>
      </c>
      <c r="I286" s="4">
        <v>86.3</v>
      </c>
      <c r="J286" s="4">
        <v>0.2</v>
      </c>
      <c r="K286" s="4">
        <v>1</v>
      </c>
      <c r="L286" s="4">
        <v>4.5</v>
      </c>
      <c r="M286" s="4">
        <v>636775.66</v>
      </c>
      <c r="N286" s="4">
        <v>122636.86</v>
      </c>
      <c r="O286">
        <f t="shared" si="8"/>
        <v>1</v>
      </c>
      <c r="P286">
        <f t="shared" si="9"/>
        <v>0</v>
      </c>
    </row>
    <row r="287" spans="1:16">
      <c r="A287" s="4" t="s">
        <v>93</v>
      </c>
      <c r="B287" s="6">
        <v>45689</v>
      </c>
      <c r="C287" s="4" t="s">
        <v>27</v>
      </c>
      <c r="D287" s="4" t="s">
        <v>16</v>
      </c>
      <c r="E287" s="4">
        <v>74539.14</v>
      </c>
      <c r="F287" s="4">
        <v>4487</v>
      </c>
      <c r="G287" s="4">
        <v>0.14000000000000001</v>
      </c>
      <c r="H287" s="4">
        <v>10</v>
      </c>
      <c r="I287" s="4">
        <v>90.4</v>
      </c>
      <c r="J287" s="4">
        <v>0.59</v>
      </c>
      <c r="K287" s="4">
        <v>0</v>
      </c>
      <c r="L287" s="4">
        <v>4.5</v>
      </c>
      <c r="M287" s="4">
        <v>633009.53</v>
      </c>
      <c r="N287" s="4">
        <v>123782.67</v>
      </c>
      <c r="O287">
        <f t="shared" si="8"/>
        <v>1</v>
      </c>
      <c r="P287">
        <f t="shared" si="9"/>
        <v>0</v>
      </c>
    </row>
    <row r="288" spans="1:16">
      <c r="A288" s="4" t="s">
        <v>93</v>
      </c>
      <c r="B288" s="6">
        <v>45717</v>
      </c>
      <c r="C288" s="4" t="s">
        <v>27</v>
      </c>
      <c r="D288" s="4" t="s">
        <v>16</v>
      </c>
      <c r="E288" s="4">
        <v>55371.97</v>
      </c>
      <c r="F288" s="4">
        <v>4162</v>
      </c>
      <c r="G288" s="4">
        <v>0.183</v>
      </c>
      <c r="H288" s="4">
        <v>11</v>
      </c>
      <c r="I288" s="4">
        <v>92</v>
      </c>
      <c r="J288" s="4">
        <v>0.2</v>
      </c>
      <c r="K288" s="4">
        <v>1</v>
      </c>
      <c r="L288" s="4">
        <v>4.2</v>
      </c>
      <c r="M288" s="4">
        <v>609949</v>
      </c>
      <c r="N288" s="4">
        <v>126789.25</v>
      </c>
      <c r="O288">
        <f t="shared" si="8"/>
        <v>1</v>
      </c>
      <c r="P288">
        <f t="shared" si="9"/>
        <v>0</v>
      </c>
    </row>
    <row r="289" spans="1:16">
      <c r="A289" s="4" t="s">
        <v>93</v>
      </c>
      <c r="B289" s="6">
        <v>45748</v>
      </c>
      <c r="C289" s="4" t="s">
        <v>27</v>
      </c>
      <c r="D289" s="4" t="s">
        <v>16</v>
      </c>
      <c r="E289" s="4">
        <v>40928.69</v>
      </c>
      <c r="F289" s="4">
        <v>4094</v>
      </c>
      <c r="G289" s="4">
        <v>0.17399999999999999</v>
      </c>
      <c r="H289" s="4">
        <v>13</v>
      </c>
      <c r="I289" s="4">
        <v>82.4</v>
      </c>
      <c r="J289" s="4">
        <v>1.36</v>
      </c>
      <c r="K289" s="4">
        <v>0</v>
      </c>
      <c r="L289" s="4">
        <v>4.8</v>
      </c>
      <c r="M289" s="4">
        <v>548103.69999999995</v>
      </c>
      <c r="N289" s="4">
        <v>99905.52</v>
      </c>
      <c r="O289">
        <f t="shared" si="8"/>
        <v>1</v>
      </c>
      <c r="P289">
        <f t="shared" si="9"/>
        <v>0</v>
      </c>
    </row>
    <row r="290" spans="1:16">
      <c r="A290" s="4" t="s">
        <v>94</v>
      </c>
      <c r="B290" s="6">
        <v>45658</v>
      </c>
      <c r="C290" s="4" t="s">
        <v>15</v>
      </c>
      <c r="D290" s="4" t="s">
        <v>16</v>
      </c>
      <c r="E290" s="4">
        <v>70012.41</v>
      </c>
      <c r="F290" s="4">
        <v>8484</v>
      </c>
      <c r="G290" s="4">
        <v>0.27300000000000002</v>
      </c>
      <c r="H290" s="4">
        <v>23</v>
      </c>
      <c r="I290" s="4">
        <v>72.900000000000006</v>
      </c>
      <c r="J290" s="4">
        <v>3.34</v>
      </c>
      <c r="K290" s="4">
        <v>0</v>
      </c>
      <c r="L290" s="4">
        <v>3.7</v>
      </c>
      <c r="M290" s="4">
        <v>729424.42</v>
      </c>
      <c r="N290" s="4">
        <v>75592.28</v>
      </c>
      <c r="O290">
        <f t="shared" si="8"/>
        <v>1</v>
      </c>
      <c r="P290">
        <f t="shared" si="9"/>
        <v>0</v>
      </c>
    </row>
    <row r="291" spans="1:16">
      <c r="A291" s="4" t="s">
        <v>94</v>
      </c>
      <c r="B291" s="6">
        <v>45689</v>
      </c>
      <c r="C291" s="4" t="s">
        <v>15</v>
      </c>
      <c r="D291" s="4" t="s">
        <v>16</v>
      </c>
      <c r="E291" s="4">
        <v>68909.259999999995</v>
      </c>
      <c r="F291" s="4">
        <v>7794</v>
      </c>
      <c r="G291" s="4">
        <v>0.28399999999999997</v>
      </c>
      <c r="H291" s="4">
        <v>22</v>
      </c>
      <c r="I291" s="4">
        <v>89</v>
      </c>
      <c r="J291" s="4">
        <v>0.33</v>
      </c>
      <c r="K291" s="4">
        <v>0</v>
      </c>
      <c r="L291" s="4">
        <v>4</v>
      </c>
      <c r="M291" s="4">
        <v>696261.49</v>
      </c>
      <c r="N291" s="4">
        <v>72455.350000000006</v>
      </c>
      <c r="O291">
        <f t="shared" si="8"/>
        <v>1</v>
      </c>
      <c r="P291">
        <f t="shared" si="9"/>
        <v>0</v>
      </c>
    </row>
    <row r="292" spans="1:16">
      <c r="A292" s="4" t="s">
        <v>94</v>
      </c>
      <c r="B292" s="6">
        <v>45717</v>
      </c>
      <c r="C292" s="4" t="s">
        <v>15</v>
      </c>
      <c r="D292" s="4" t="s">
        <v>16</v>
      </c>
      <c r="E292" s="4">
        <v>56737.3</v>
      </c>
      <c r="F292" s="4">
        <v>8300</v>
      </c>
      <c r="G292" s="4">
        <v>3.2000000000000001E-2</v>
      </c>
      <c r="H292" s="4">
        <v>21</v>
      </c>
      <c r="I292" s="4">
        <v>83.2</v>
      </c>
      <c r="J292" s="4">
        <v>3.44</v>
      </c>
      <c r="K292" s="4">
        <v>1</v>
      </c>
      <c r="L292" s="4">
        <v>4.3</v>
      </c>
      <c r="M292" s="4">
        <v>813316.71</v>
      </c>
      <c r="N292" s="4">
        <v>110077.42</v>
      </c>
      <c r="O292">
        <f t="shared" si="8"/>
        <v>1</v>
      </c>
      <c r="P292">
        <f t="shared" si="9"/>
        <v>0</v>
      </c>
    </row>
    <row r="293" spans="1:16">
      <c r="A293" s="4" t="s">
        <v>94</v>
      </c>
      <c r="B293" s="6">
        <v>45748</v>
      </c>
      <c r="C293" s="4" t="s">
        <v>15</v>
      </c>
      <c r="D293" s="4" t="s">
        <v>16</v>
      </c>
      <c r="E293" s="4">
        <v>54080.91</v>
      </c>
      <c r="F293" s="4">
        <v>7083</v>
      </c>
      <c r="G293" s="4">
        <v>0</v>
      </c>
      <c r="H293" s="4">
        <v>15</v>
      </c>
      <c r="I293" s="4">
        <v>97</v>
      </c>
      <c r="J293" s="4">
        <v>5.33</v>
      </c>
      <c r="K293" s="4">
        <v>0</v>
      </c>
      <c r="L293" s="4">
        <v>4.0999999999999996</v>
      </c>
      <c r="M293" s="4">
        <v>702068.92</v>
      </c>
      <c r="N293" s="4">
        <v>111266.63</v>
      </c>
      <c r="O293">
        <f t="shared" si="8"/>
        <v>1</v>
      </c>
      <c r="P293">
        <f t="shared" si="9"/>
        <v>0</v>
      </c>
    </row>
    <row r="294" spans="1:16">
      <c r="A294" s="4" t="s">
        <v>95</v>
      </c>
      <c r="B294" s="6">
        <v>45658</v>
      </c>
      <c r="C294" s="4" t="s">
        <v>27</v>
      </c>
      <c r="D294" s="4" t="s">
        <v>18</v>
      </c>
      <c r="E294" s="4">
        <v>51996.32</v>
      </c>
      <c r="F294" s="4">
        <v>3834</v>
      </c>
      <c r="G294" s="4">
        <v>9.6000000000000002E-2</v>
      </c>
      <c r="H294" s="4">
        <v>8</v>
      </c>
      <c r="I294" s="4">
        <v>86.7</v>
      </c>
      <c r="J294" s="4">
        <v>6.04</v>
      </c>
      <c r="K294" s="4">
        <v>0</v>
      </c>
      <c r="L294" s="4">
        <v>4.5</v>
      </c>
      <c r="M294" s="4">
        <v>546223.69999999995</v>
      </c>
      <c r="N294" s="4">
        <v>100769.17</v>
      </c>
      <c r="O294">
        <f t="shared" si="8"/>
        <v>0</v>
      </c>
      <c r="P294">
        <f t="shared" si="9"/>
        <v>1</v>
      </c>
    </row>
    <row r="295" spans="1:16">
      <c r="A295" s="4" t="s">
        <v>95</v>
      </c>
      <c r="B295" s="6">
        <v>45689</v>
      </c>
      <c r="C295" s="4" t="s">
        <v>27</v>
      </c>
      <c r="D295" s="4" t="s">
        <v>18</v>
      </c>
      <c r="E295" s="4">
        <v>40102.879999999997</v>
      </c>
      <c r="F295" s="4">
        <v>2358</v>
      </c>
      <c r="G295" s="4">
        <v>0.11899999999999999</v>
      </c>
      <c r="H295" s="4">
        <v>9</v>
      </c>
      <c r="I295" s="4">
        <v>88.7</v>
      </c>
      <c r="J295" s="4">
        <v>1.6</v>
      </c>
      <c r="K295" s="4">
        <v>0</v>
      </c>
      <c r="L295" s="4">
        <v>4.2</v>
      </c>
      <c r="M295" s="4">
        <v>533121.26</v>
      </c>
      <c r="N295" s="4">
        <v>55063.39</v>
      </c>
      <c r="O295">
        <f t="shared" si="8"/>
        <v>0</v>
      </c>
      <c r="P295">
        <f t="shared" si="9"/>
        <v>1</v>
      </c>
    </row>
    <row r="296" spans="1:16">
      <c r="A296" s="4" t="s">
        <v>95</v>
      </c>
      <c r="B296" s="6">
        <v>45717</v>
      </c>
      <c r="C296" s="4" t="s">
        <v>27</v>
      </c>
      <c r="D296" s="4" t="s">
        <v>18</v>
      </c>
      <c r="E296" s="4">
        <v>59825.51</v>
      </c>
      <c r="F296" s="4">
        <v>1231</v>
      </c>
      <c r="G296" s="4">
        <v>0.214</v>
      </c>
      <c r="H296" s="4">
        <v>10</v>
      </c>
      <c r="I296" s="4">
        <v>84.8</v>
      </c>
      <c r="J296" s="4">
        <v>8.9600000000000009</v>
      </c>
      <c r="K296" s="4">
        <v>0</v>
      </c>
      <c r="L296" s="4">
        <v>4.7</v>
      </c>
      <c r="M296" s="4">
        <v>498970.32</v>
      </c>
      <c r="N296" s="4">
        <v>69656.7</v>
      </c>
      <c r="O296">
        <f t="shared" si="8"/>
        <v>0</v>
      </c>
      <c r="P296">
        <f t="shared" si="9"/>
        <v>1</v>
      </c>
    </row>
    <row r="297" spans="1:16">
      <c r="A297" s="4" t="s">
        <v>95</v>
      </c>
      <c r="B297" s="6">
        <v>45748</v>
      </c>
      <c r="C297" s="4" t="s">
        <v>27</v>
      </c>
      <c r="D297" s="4" t="s">
        <v>18</v>
      </c>
      <c r="E297" s="4">
        <v>27398.28</v>
      </c>
      <c r="F297" s="4">
        <v>1723</v>
      </c>
      <c r="G297" s="4">
        <v>0.17100000000000001</v>
      </c>
      <c r="H297" s="4">
        <v>9</v>
      </c>
      <c r="I297" s="4">
        <v>81</v>
      </c>
      <c r="J297" s="4">
        <v>0.74</v>
      </c>
      <c r="K297" s="4">
        <v>0</v>
      </c>
      <c r="L297" s="4">
        <v>4.5999999999999996</v>
      </c>
      <c r="M297" s="4">
        <v>487738.26</v>
      </c>
      <c r="N297" s="4">
        <v>96435.6</v>
      </c>
      <c r="O297">
        <f t="shared" si="8"/>
        <v>0</v>
      </c>
      <c r="P297">
        <f t="shared" si="9"/>
        <v>1</v>
      </c>
    </row>
    <row r="298" spans="1:16">
      <c r="A298" s="4" t="s">
        <v>96</v>
      </c>
      <c r="B298" s="6">
        <v>45658</v>
      </c>
      <c r="C298" s="4" t="s">
        <v>27</v>
      </c>
      <c r="D298" s="4" t="s">
        <v>18</v>
      </c>
      <c r="E298" s="4">
        <v>55599.56</v>
      </c>
      <c r="F298" s="4">
        <v>5896</v>
      </c>
      <c r="G298" s="4">
        <v>3.5999999999999997E-2</v>
      </c>
      <c r="H298" s="4">
        <v>12</v>
      </c>
      <c r="I298" s="4">
        <v>93.1</v>
      </c>
      <c r="J298" s="4">
        <v>6.13</v>
      </c>
      <c r="K298" s="4">
        <v>0</v>
      </c>
      <c r="L298" s="4">
        <v>3.3</v>
      </c>
      <c r="M298" s="4">
        <v>668459.37</v>
      </c>
      <c r="N298" s="4">
        <v>126435.42</v>
      </c>
      <c r="O298">
        <f t="shared" si="8"/>
        <v>0</v>
      </c>
      <c r="P298">
        <f t="shared" si="9"/>
        <v>1</v>
      </c>
    </row>
    <row r="299" spans="1:16">
      <c r="A299" s="4" t="s">
        <v>96</v>
      </c>
      <c r="B299" s="6">
        <v>45689</v>
      </c>
      <c r="C299" s="4" t="s">
        <v>27</v>
      </c>
      <c r="D299" s="4" t="s">
        <v>18</v>
      </c>
      <c r="E299" s="4">
        <v>55477.61</v>
      </c>
      <c r="F299" s="4">
        <v>5903</v>
      </c>
      <c r="G299" s="4">
        <v>0.10199999999999999</v>
      </c>
      <c r="H299" s="4">
        <v>14</v>
      </c>
      <c r="I299" s="4">
        <v>96.2</v>
      </c>
      <c r="J299" s="4">
        <v>1.41</v>
      </c>
      <c r="K299" s="4">
        <v>0</v>
      </c>
      <c r="L299" s="4">
        <v>3.3</v>
      </c>
      <c r="M299" s="4">
        <v>763162.45</v>
      </c>
      <c r="N299" s="4">
        <v>162524.04999999999</v>
      </c>
      <c r="O299">
        <f t="shared" si="8"/>
        <v>0</v>
      </c>
      <c r="P299">
        <f t="shared" si="9"/>
        <v>1</v>
      </c>
    </row>
    <row r="300" spans="1:16">
      <c r="A300" s="4" t="s">
        <v>96</v>
      </c>
      <c r="B300" s="6">
        <v>45717</v>
      </c>
      <c r="C300" s="4" t="s">
        <v>27</v>
      </c>
      <c r="D300" s="4" t="s">
        <v>18</v>
      </c>
      <c r="E300" s="4">
        <v>46174.7</v>
      </c>
      <c r="F300" s="4">
        <v>4898</v>
      </c>
      <c r="G300" s="4">
        <v>0.114</v>
      </c>
      <c r="H300" s="4">
        <v>11</v>
      </c>
      <c r="I300" s="4">
        <v>91.7</v>
      </c>
      <c r="J300" s="4">
        <v>3.75</v>
      </c>
      <c r="K300" s="4">
        <v>0</v>
      </c>
      <c r="L300" s="4">
        <v>3.1</v>
      </c>
      <c r="M300" s="4">
        <v>599017.32999999996</v>
      </c>
      <c r="N300" s="4">
        <v>134009.92000000001</v>
      </c>
      <c r="O300">
        <f t="shared" si="8"/>
        <v>0</v>
      </c>
      <c r="P300">
        <f t="shared" si="9"/>
        <v>1</v>
      </c>
    </row>
    <row r="301" spans="1:16">
      <c r="A301" s="4" t="s">
        <v>96</v>
      </c>
      <c r="B301" s="6">
        <v>45748</v>
      </c>
      <c r="C301" s="4" t="s">
        <v>27</v>
      </c>
      <c r="D301" s="4" t="s">
        <v>18</v>
      </c>
      <c r="E301" s="4">
        <v>24362.98</v>
      </c>
      <c r="F301" s="4">
        <v>1462</v>
      </c>
      <c r="G301" s="4">
        <v>0.11700000000000001</v>
      </c>
      <c r="H301" s="4">
        <v>6</v>
      </c>
      <c r="I301" s="4">
        <v>89.3</v>
      </c>
      <c r="J301" s="4">
        <v>15.06</v>
      </c>
      <c r="K301" s="4">
        <v>0</v>
      </c>
      <c r="L301" s="4">
        <v>3.2</v>
      </c>
      <c r="M301" s="4">
        <v>401582.58</v>
      </c>
      <c r="N301" s="4">
        <v>68454.929999999993</v>
      </c>
      <c r="O301">
        <f t="shared" si="8"/>
        <v>0</v>
      </c>
      <c r="P301">
        <f t="shared" si="9"/>
        <v>1</v>
      </c>
    </row>
    <row r="302" spans="1:16">
      <c r="A302" s="4" t="s">
        <v>97</v>
      </c>
      <c r="B302" s="6">
        <v>45658</v>
      </c>
      <c r="C302" s="4" t="s">
        <v>20</v>
      </c>
      <c r="D302" s="4" t="s">
        <v>28</v>
      </c>
      <c r="E302" s="4">
        <v>40647.67</v>
      </c>
      <c r="F302" s="4">
        <v>8252</v>
      </c>
      <c r="G302" s="4">
        <v>0.14099999999999999</v>
      </c>
      <c r="H302" s="4">
        <v>22</v>
      </c>
      <c r="I302" s="4">
        <v>88.2</v>
      </c>
      <c r="J302" s="4">
        <v>5.07</v>
      </c>
      <c r="K302" s="4">
        <v>1</v>
      </c>
      <c r="L302" s="4">
        <v>4.0999999999999996</v>
      </c>
      <c r="M302" s="4">
        <v>703812.99</v>
      </c>
      <c r="N302" s="4">
        <v>133577.98000000001</v>
      </c>
      <c r="O302">
        <f t="shared" si="8"/>
        <v>0</v>
      </c>
      <c r="P302">
        <f t="shared" si="9"/>
        <v>0</v>
      </c>
    </row>
    <row r="303" spans="1:16">
      <c r="A303" s="4" t="s">
        <v>97</v>
      </c>
      <c r="B303" s="6">
        <v>45689</v>
      </c>
      <c r="C303" s="4" t="s">
        <v>20</v>
      </c>
      <c r="D303" s="4" t="s">
        <v>28</v>
      </c>
      <c r="E303" s="4">
        <v>63986.98</v>
      </c>
      <c r="F303" s="4">
        <v>7989</v>
      </c>
      <c r="G303" s="4">
        <v>7.3999999999999996E-2</v>
      </c>
      <c r="H303" s="4">
        <v>20</v>
      </c>
      <c r="I303" s="4">
        <v>83.3</v>
      </c>
      <c r="J303" s="4">
        <v>3.6</v>
      </c>
      <c r="K303" s="4">
        <v>0</v>
      </c>
      <c r="L303" s="4">
        <v>3.7</v>
      </c>
      <c r="M303" s="4">
        <v>724346.73</v>
      </c>
      <c r="N303" s="4">
        <v>155013.91</v>
      </c>
      <c r="O303">
        <f t="shared" si="8"/>
        <v>0</v>
      </c>
      <c r="P303">
        <f t="shared" si="9"/>
        <v>0</v>
      </c>
    </row>
    <row r="304" spans="1:16">
      <c r="A304" s="4" t="s">
        <v>97</v>
      </c>
      <c r="B304" s="6">
        <v>45717</v>
      </c>
      <c r="C304" s="4" t="s">
        <v>20</v>
      </c>
      <c r="D304" s="4" t="s">
        <v>28</v>
      </c>
      <c r="E304" s="4">
        <v>52843.75</v>
      </c>
      <c r="F304" s="4">
        <v>8268</v>
      </c>
      <c r="G304" s="4">
        <v>0.13800000000000001</v>
      </c>
      <c r="H304" s="4">
        <v>19</v>
      </c>
      <c r="I304" s="4">
        <v>87.3</v>
      </c>
      <c r="J304" s="4">
        <v>4.3899999999999997</v>
      </c>
      <c r="K304" s="4">
        <v>1</v>
      </c>
      <c r="L304" s="4">
        <v>4.7</v>
      </c>
      <c r="M304" s="4">
        <v>730890.01</v>
      </c>
      <c r="N304" s="4">
        <v>105502.56</v>
      </c>
      <c r="O304">
        <f t="shared" si="8"/>
        <v>0</v>
      </c>
      <c r="P304">
        <f t="shared" si="9"/>
        <v>0</v>
      </c>
    </row>
    <row r="305" spans="1:16">
      <c r="A305" s="4" t="s">
        <v>97</v>
      </c>
      <c r="B305" s="6">
        <v>45748</v>
      </c>
      <c r="C305" s="4" t="s">
        <v>20</v>
      </c>
      <c r="D305" s="4" t="s">
        <v>28</v>
      </c>
      <c r="E305" s="4">
        <v>31997.25</v>
      </c>
      <c r="F305" s="4">
        <v>8183</v>
      </c>
      <c r="G305" s="4">
        <v>0.19800000000000001</v>
      </c>
      <c r="H305" s="4">
        <v>18</v>
      </c>
      <c r="I305" s="4">
        <v>93</v>
      </c>
      <c r="J305" s="4">
        <v>2.79</v>
      </c>
      <c r="K305" s="4">
        <v>0</v>
      </c>
      <c r="L305" s="4">
        <v>4.2</v>
      </c>
      <c r="M305" s="4">
        <v>780580.95</v>
      </c>
      <c r="N305" s="4">
        <v>138144.46</v>
      </c>
      <c r="O305">
        <f t="shared" si="8"/>
        <v>0</v>
      </c>
      <c r="P305">
        <f t="shared" si="9"/>
        <v>0</v>
      </c>
    </row>
    <row r="306" spans="1:16">
      <c r="A306" s="4" t="s">
        <v>98</v>
      </c>
      <c r="B306" s="6">
        <v>45658</v>
      </c>
      <c r="C306" s="4" t="s">
        <v>24</v>
      </c>
      <c r="D306" s="4" t="s">
        <v>16</v>
      </c>
      <c r="E306" s="4">
        <v>54948.02</v>
      </c>
      <c r="F306" s="4">
        <v>6534</v>
      </c>
      <c r="G306" s="4">
        <v>0.183</v>
      </c>
      <c r="H306" s="4">
        <v>14</v>
      </c>
      <c r="I306" s="4">
        <v>94.5</v>
      </c>
      <c r="J306" s="4">
        <v>1.56</v>
      </c>
      <c r="K306" s="4">
        <v>0</v>
      </c>
      <c r="L306" s="4">
        <v>4</v>
      </c>
      <c r="M306" s="4">
        <v>727957.48</v>
      </c>
      <c r="N306" s="4">
        <v>74805.23</v>
      </c>
      <c r="O306">
        <f t="shared" si="8"/>
        <v>1</v>
      </c>
      <c r="P306">
        <f t="shared" si="9"/>
        <v>0</v>
      </c>
    </row>
    <row r="307" spans="1:16">
      <c r="A307" s="4" t="s">
        <v>98</v>
      </c>
      <c r="B307" s="6">
        <v>45689</v>
      </c>
      <c r="C307" s="4" t="s">
        <v>24</v>
      </c>
      <c r="D307" s="4" t="s">
        <v>16</v>
      </c>
      <c r="E307" s="4">
        <v>46146.239999999998</v>
      </c>
      <c r="F307" s="4">
        <v>5804</v>
      </c>
      <c r="G307" s="4">
        <v>4.7E-2</v>
      </c>
      <c r="H307" s="4">
        <v>16</v>
      </c>
      <c r="I307" s="4">
        <v>86.9</v>
      </c>
      <c r="J307" s="4">
        <v>15.82</v>
      </c>
      <c r="K307" s="4">
        <v>0</v>
      </c>
      <c r="L307" s="4">
        <v>3.8</v>
      </c>
      <c r="M307" s="4">
        <v>538376</v>
      </c>
      <c r="N307" s="4">
        <v>87605.62</v>
      </c>
      <c r="O307">
        <f t="shared" si="8"/>
        <v>1</v>
      </c>
      <c r="P307">
        <f t="shared" si="9"/>
        <v>0</v>
      </c>
    </row>
    <row r="308" spans="1:16">
      <c r="A308" s="4" t="s">
        <v>98</v>
      </c>
      <c r="B308" s="6">
        <v>45717</v>
      </c>
      <c r="C308" s="4" t="s">
        <v>24</v>
      </c>
      <c r="D308" s="4" t="s">
        <v>16</v>
      </c>
      <c r="E308" s="4">
        <v>22387.26</v>
      </c>
      <c r="F308" s="4">
        <v>6301</v>
      </c>
      <c r="G308" s="4">
        <v>0.14599999999999999</v>
      </c>
      <c r="H308" s="4">
        <v>14</v>
      </c>
      <c r="I308" s="4">
        <v>85.9</v>
      </c>
      <c r="J308" s="4">
        <v>1.17</v>
      </c>
      <c r="K308" s="4">
        <v>1</v>
      </c>
      <c r="L308" s="4">
        <v>3.7</v>
      </c>
      <c r="M308" s="4">
        <v>665342.49</v>
      </c>
      <c r="N308" s="4">
        <v>93441.81</v>
      </c>
      <c r="O308">
        <f t="shared" si="8"/>
        <v>1</v>
      </c>
      <c r="P308">
        <f t="shared" si="9"/>
        <v>0</v>
      </c>
    </row>
    <row r="309" spans="1:16">
      <c r="A309" s="4" t="s">
        <v>98</v>
      </c>
      <c r="B309" s="6">
        <v>45748</v>
      </c>
      <c r="C309" s="4" t="s">
        <v>24</v>
      </c>
      <c r="D309" s="4" t="s">
        <v>16</v>
      </c>
      <c r="E309" s="4">
        <v>60684.05</v>
      </c>
      <c r="F309" s="4">
        <v>6399</v>
      </c>
      <c r="G309" s="4">
        <v>7.4999999999999997E-2</v>
      </c>
      <c r="H309" s="4">
        <v>16</v>
      </c>
      <c r="I309" s="4">
        <v>99</v>
      </c>
      <c r="J309" s="4">
        <v>3.82</v>
      </c>
      <c r="K309" s="4">
        <v>0</v>
      </c>
      <c r="L309" s="4">
        <v>3.5</v>
      </c>
      <c r="M309" s="4">
        <v>651164.18000000005</v>
      </c>
      <c r="N309" s="4">
        <v>109466.5</v>
      </c>
      <c r="O309">
        <f t="shared" si="8"/>
        <v>1</v>
      </c>
      <c r="P309">
        <f t="shared" si="9"/>
        <v>0</v>
      </c>
    </row>
    <row r="310" spans="1:16">
      <c r="A310" s="4" t="s">
        <v>99</v>
      </c>
      <c r="B310" s="6">
        <v>45658</v>
      </c>
      <c r="C310" s="4" t="s">
        <v>24</v>
      </c>
      <c r="D310" s="4" t="s">
        <v>18</v>
      </c>
      <c r="E310" s="4">
        <v>48465.599999999999</v>
      </c>
      <c r="F310" s="4">
        <v>5759</v>
      </c>
      <c r="G310" s="4">
        <v>0.154</v>
      </c>
      <c r="H310" s="4">
        <v>13</v>
      </c>
      <c r="I310" s="4">
        <v>87.5</v>
      </c>
      <c r="J310" s="4">
        <v>4.1399999999999997</v>
      </c>
      <c r="K310" s="4">
        <v>0</v>
      </c>
      <c r="L310" s="4">
        <v>4</v>
      </c>
      <c r="M310" s="4">
        <v>628538.30000000005</v>
      </c>
      <c r="N310" s="4">
        <v>112509.15</v>
      </c>
      <c r="O310">
        <f t="shared" si="8"/>
        <v>0</v>
      </c>
      <c r="P310">
        <f t="shared" si="9"/>
        <v>1</v>
      </c>
    </row>
    <row r="311" spans="1:16">
      <c r="A311" s="4" t="s">
        <v>99</v>
      </c>
      <c r="B311" s="6">
        <v>45689</v>
      </c>
      <c r="C311" s="4" t="s">
        <v>24</v>
      </c>
      <c r="D311" s="4" t="s">
        <v>18</v>
      </c>
      <c r="E311" s="4">
        <v>23702.38</v>
      </c>
      <c r="F311" s="4">
        <v>5285</v>
      </c>
      <c r="G311" s="4">
        <v>0.16700000000000001</v>
      </c>
      <c r="H311" s="4">
        <v>14</v>
      </c>
      <c r="I311" s="4">
        <v>79.7</v>
      </c>
      <c r="J311" s="4">
        <v>1.1000000000000001</v>
      </c>
      <c r="K311" s="4">
        <v>0</v>
      </c>
      <c r="L311" s="4">
        <v>4.3</v>
      </c>
      <c r="M311" s="4">
        <v>536524.84</v>
      </c>
      <c r="N311" s="4">
        <v>92752.94</v>
      </c>
      <c r="O311">
        <f t="shared" si="8"/>
        <v>0</v>
      </c>
      <c r="P311">
        <f t="shared" si="9"/>
        <v>1</v>
      </c>
    </row>
    <row r="312" spans="1:16">
      <c r="A312" s="4" t="s">
        <v>99</v>
      </c>
      <c r="B312" s="6">
        <v>45717</v>
      </c>
      <c r="C312" s="4" t="s">
        <v>24</v>
      </c>
      <c r="D312" s="4" t="s">
        <v>18</v>
      </c>
      <c r="E312" s="4">
        <v>54322.94</v>
      </c>
      <c r="F312" s="4">
        <v>5434</v>
      </c>
      <c r="G312" s="4">
        <v>0.2</v>
      </c>
      <c r="H312" s="4">
        <v>13</v>
      </c>
      <c r="I312" s="4">
        <v>85.7</v>
      </c>
      <c r="J312" s="4">
        <v>10.6</v>
      </c>
      <c r="K312" s="4">
        <v>0</v>
      </c>
      <c r="L312" s="4">
        <v>4.2</v>
      </c>
      <c r="M312" s="4">
        <v>621677.30000000005</v>
      </c>
      <c r="N312" s="4">
        <v>105192.52</v>
      </c>
      <c r="O312">
        <f t="shared" si="8"/>
        <v>0</v>
      </c>
      <c r="P312">
        <f t="shared" si="9"/>
        <v>1</v>
      </c>
    </row>
    <row r="313" spans="1:16">
      <c r="A313" s="4" t="s">
        <v>99</v>
      </c>
      <c r="B313" s="6">
        <v>45748</v>
      </c>
      <c r="C313" s="4" t="s">
        <v>24</v>
      </c>
      <c r="D313" s="4" t="s">
        <v>18</v>
      </c>
      <c r="E313" s="4">
        <v>86026.58</v>
      </c>
      <c r="F313" s="4">
        <v>7479</v>
      </c>
      <c r="G313" s="4">
        <v>0.14199999999999999</v>
      </c>
      <c r="H313" s="4">
        <v>20</v>
      </c>
      <c r="I313" s="4">
        <v>89</v>
      </c>
      <c r="J313" s="4">
        <v>0.9</v>
      </c>
      <c r="K313" s="4">
        <v>0</v>
      </c>
      <c r="L313" s="4"/>
      <c r="M313" s="4">
        <v>771129.07</v>
      </c>
      <c r="N313" s="4">
        <v>116851.13</v>
      </c>
      <c r="O313">
        <f t="shared" si="8"/>
        <v>0</v>
      </c>
      <c r="P313">
        <f t="shared" si="9"/>
        <v>1</v>
      </c>
    </row>
    <row r="314" spans="1:16">
      <c r="A314" s="4" t="s">
        <v>100</v>
      </c>
      <c r="B314" s="6">
        <v>45658</v>
      </c>
      <c r="C314" s="4" t="s">
        <v>20</v>
      </c>
      <c r="D314" s="4" t="s">
        <v>16</v>
      </c>
      <c r="E314" s="4">
        <v>78967.520000000004</v>
      </c>
      <c r="F314" s="4">
        <v>6164</v>
      </c>
      <c r="G314" s="4">
        <v>2.1000000000000001E-2</v>
      </c>
      <c r="H314" s="4">
        <v>16</v>
      </c>
      <c r="I314" s="4">
        <v>85.5</v>
      </c>
      <c r="J314" s="4">
        <v>0.2</v>
      </c>
      <c r="K314" s="4">
        <v>0</v>
      </c>
      <c r="L314" s="4">
        <v>3.4</v>
      </c>
      <c r="M314" s="4">
        <v>702052.47</v>
      </c>
      <c r="N314" s="4">
        <v>121732.51</v>
      </c>
      <c r="O314">
        <f t="shared" si="8"/>
        <v>1</v>
      </c>
      <c r="P314">
        <f t="shared" si="9"/>
        <v>0</v>
      </c>
    </row>
    <row r="315" spans="1:16">
      <c r="A315" s="4" t="s">
        <v>100</v>
      </c>
      <c r="B315" s="6">
        <v>45689</v>
      </c>
      <c r="C315" s="4" t="s">
        <v>20</v>
      </c>
      <c r="D315" s="4" t="s">
        <v>16</v>
      </c>
      <c r="E315" s="4">
        <v>46767.99</v>
      </c>
      <c r="F315" s="4">
        <v>7973</v>
      </c>
      <c r="G315" s="4">
        <v>0.183</v>
      </c>
      <c r="H315" s="4">
        <v>18</v>
      </c>
      <c r="I315" s="4">
        <v>94.8</v>
      </c>
      <c r="J315" s="4">
        <v>4.67</v>
      </c>
      <c r="K315" s="4">
        <v>0</v>
      </c>
      <c r="L315" s="4"/>
      <c r="M315" s="4">
        <v>688368.46</v>
      </c>
      <c r="N315" s="4">
        <v>93588.42</v>
      </c>
      <c r="O315">
        <f t="shared" si="8"/>
        <v>1</v>
      </c>
      <c r="P315">
        <f t="shared" si="9"/>
        <v>0</v>
      </c>
    </row>
    <row r="316" spans="1:16">
      <c r="A316" s="4" t="s">
        <v>100</v>
      </c>
      <c r="B316" s="6">
        <v>45717</v>
      </c>
      <c r="C316" s="4" t="s">
        <v>20</v>
      </c>
      <c r="D316" s="4" t="s">
        <v>16</v>
      </c>
      <c r="E316" s="4">
        <v>62507.16</v>
      </c>
      <c r="F316" s="4">
        <v>6000</v>
      </c>
      <c r="G316" s="4">
        <v>9.0999999999999998E-2</v>
      </c>
      <c r="H316" s="4">
        <v>14</v>
      </c>
      <c r="I316" s="4">
        <v>98.2</v>
      </c>
      <c r="J316" s="4">
        <v>4.38</v>
      </c>
      <c r="K316" s="4">
        <v>1</v>
      </c>
      <c r="L316" s="4">
        <v>3.9</v>
      </c>
      <c r="M316" s="4">
        <v>712375.77</v>
      </c>
      <c r="N316" s="4">
        <v>104171.53</v>
      </c>
      <c r="O316">
        <f t="shared" si="8"/>
        <v>1</v>
      </c>
      <c r="P316">
        <f t="shared" si="9"/>
        <v>0</v>
      </c>
    </row>
    <row r="317" spans="1:16">
      <c r="A317" s="4" t="s">
        <v>100</v>
      </c>
      <c r="B317" s="6">
        <v>45748</v>
      </c>
      <c r="C317" s="4" t="s">
        <v>20</v>
      </c>
      <c r="D317" s="4" t="s">
        <v>16</v>
      </c>
      <c r="E317" s="4">
        <v>66456.28</v>
      </c>
      <c r="F317" s="4">
        <v>9967</v>
      </c>
      <c r="G317" s="4">
        <v>0.108</v>
      </c>
      <c r="H317" s="4">
        <v>20</v>
      </c>
      <c r="I317" s="4">
        <v>94.7</v>
      </c>
      <c r="J317" s="4">
        <v>4.4800000000000004</v>
      </c>
      <c r="K317" s="4">
        <v>0</v>
      </c>
      <c r="L317" s="4">
        <v>4.2</v>
      </c>
      <c r="M317" s="4">
        <v>844710.67</v>
      </c>
      <c r="N317" s="4">
        <v>137140.18</v>
      </c>
      <c r="O317">
        <f t="shared" si="8"/>
        <v>1</v>
      </c>
      <c r="P317">
        <f t="shared" si="9"/>
        <v>0</v>
      </c>
    </row>
    <row r="318" spans="1:16">
      <c r="A318" s="4" t="s">
        <v>101</v>
      </c>
      <c r="B318" s="6">
        <v>45658</v>
      </c>
      <c r="C318" s="4" t="s">
        <v>15</v>
      </c>
      <c r="D318" s="4" t="s">
        <v>16</v>
      </c>
      <c r="E318" s="4">
        <v>76614.320000000007</v>
      </c>
      <c r="F318" s="4">
        <v>5639</v>
      </c>
      <c r="G318" s="4">
        <v>0.17399999999999999</v>
      </c>
      <c r="H318" s="4">
        <v>15</v>
      </c>
      <c r="I318" s="4">
        <v>92.9</v>
      </c>
      <c r="J318" s="4">
        <v>1.02</v>
      </c>
      <c r="K318" s="4">
        <v>1</v>
      </c>
      <c r="L318" s="4">
        <v>4</v>
      </c>
      <c r="M318" s="4">
        <v>620264.19999999995</v>
      </c>
      <c r="N318" s="4">
        <v>91365.64</v>
      </c>
      <c r="O318">
        <f t="shared" si="8"/>
        <v>1</v>
      </c>
      <c r="P318">
        <f t="shared" si="9"/>
        <v>0</v>
      </c>
    </row>
    <row r="319" spans="1:16">
      <c r="A319" s="4" t="s">
        <v>101</v>
      </c>
      <c r="B319" s="6">
        <v>45689</v>
      </c>
      <c r="C319" s="4" t="s">
        <v>15</v>
      </c>
      <c r="D319" s="4" t="s">
        <v>16</v>
      </c>
      <c r="E319" s="4">
        <v>24088.06</v>
      </c>
      <c r="F319" s="4">
        <v>3466</v>
      </c>
      <c r="G319" s="4">
        <v>0</v>
      </c>
      <c r="H319" s="4">
        <v>11</v>
      </c>
      <c r="I319" s="4">
        <v>88</v>
      </c>
      <c r="J319" s="4">
        <v>0.2</v>
      </c>
      <c r="K319" s="4">
        <v>0</v>
      </c>
      <c r="L319" s="4">
        <v>3.8</v>
      </c>
      <c r="M319" s="4">
        <v>536845.42000000004</v>
      </c>
      <c r="N319" s="4">
        <v>107473.75</v>
      </c>
      <c r="O319">
        <f t="shared" si="8"/>
        <v>1</v>
      </c>
      <c r="P319">
        <f t="shared" si="9"/>
        <v>0</v>
      </c>
    </row>
    <row r="320" spans="1:16">
      <c r="A320" s="4" t="s">
        <v>101</v>
      </c>
      <c r="B320" s="6">
        <v>45717</v>
      </c>
      <c r="C320" s="4" t="s">
        <v>15</v>
      </c>
      <c r="D320" s="4" t="s">
        <v>16</v>
      </c>
      <c r="E320" s="4">
        <v>81902.58</v>
      </c>
      <c r="F320" s="4">
        <v>7775</v>
      </c>
      <c r="G320" s="4">
        <v>0.215</v>
      </c>
      <c r="H320" s="4">
        <v>20</v>
      </c>
      <c r="I320" s="4">
        <v>85.2</v>
      </c>
      <c r="J320" s="4">
        <v>4.8899999999999997</v>
      </c>
      <c r="K320" s="4">
        <v>1</v>
      </c>
      <c r="L320" s="4">
        <v>4.2</v>
      </c>
      <c r="M320" s="4">
        <v>726776.22</v>
      </c>
      <c r="N320" s="4">
        <v>90804.49</v>
      </c>
      <c r="O320">
        <f t="shared" si="8"/>
        <v>1</v>
      </c>
      <c r="P320">
        <f t="shared" si="9"/>
        <v>0</v>
      </c>
    </row>
    <row r="321" spans="1:16">
      <c r="A321" s="4" t="s">
        <v>101</v>
      </c>
      <c r="B321" s="6">
        <v>45748</v>
      </c>
      <c r="C321" s="4" t="s">
        <v>15</v>
      </c>
      <c r="D321" s="4" t="s">
        <v>16</v>
      </c>
      <c r="E321" s="4">
        <v>40553.11</v>
      </c>
      <c r="F321" s="4">
        <v>5317</v>
      </c>
      <c r="G321" s="4">
        <v>0.16500000000000001</v>
      </c>
      <c r="H321" s="4">
        <v>17</v>
      </c>
      <c r="I321" s="4">
        <v>84.3</v>
      </c>
      <c r="J321" s="4">
        <v>11.82</v>
      </c>
      <c r="K321" s="4">
        <v>0</v>
      </c>
      <c r="L321" s="4">
        <v>4.0999999999999996</v>
      </c>
      <c r="M321" s="4">
        <v>559660.84</v>
      </c>
      <c r="N321" s="4">
        <v>71443.61</v>
      </c>
      <c r="O321">
        <f t="shared" si="8"/>
        <v>1</v>
      </c>
      <c r="P321">
        <f t="shared" si="9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193E9-B237-4DFC-8A77-077B0C44287B}">
  <dimension ref="A1:I18"/>
  <sheetViews>
    <sheetView workbookViewId="0">
      <selection activeCell="L19" sqref="L19"/>
    </sheetView>
  </sheetViews>
  <sheetFormatPr defaultRowHeight="15"/>
  <cols>
    <col min="1" max="1" width="18.140625" customWidth="1"/>
    <col min="2" max="2" width="19.85546875" customWidth="1"/>
    <col min="3" max="4" width="15.140625" customWidth="1"/>
    <col min="5" max="5" width="11.42578125" customWidth="1"/>
    <col min="6" max="6" width="16.140625" customWidth="1"/>
    <col min="7" max="7" width="14.42578125" customWidth="1"/>
    <col min="8" max="8" width="15.140625" customWidth="1"/>
    <col min="9" max="9" width="16.140625" customWidth="1"/>
  </cols>
  <sheetData>
    <row r="1" spans="1:9">
      <c r="A1" t="s">
        <v>104</v>
      </c>
    </row>
    <row r="2" spans="1:9" ht="15.75" thickBot="1"/>
    <row r="3" spans="1:9">
      <c r="A3" s="10" t="s">
        <v>105</v>
      </c>
      <c r="B3" s="10"/>
    </row>
    <row r="4" spans="1:9">
      <c r="A4" s="7" t="s">
        <v>106</v>
      </c>
      <c r="B4" s="7">
        <v>0.40895561021322352</v>
      </c>
    </row>
    <row r="5" spans="1:9">
      <c r="A5" s="7" t="s">
        <v>107</v>
      </c>
      <c r="B5" s="7">
        <v>0.16724469112487</v>
      </c>
    </row>
    <row r="6" spans="1:9">
      <c r="A6" s="7" t="s">
        <v>108</v>
      </c>
      <c r="B6" s="7">
        <v>0.16462596373847024</v>
      </c>
    </row>
    <row r="7" spans="1:9">
      <c r="A7" s="7" t="s">
        <v>109</v>
      </c>
      <c r="B7" s="7">
        <v>94846.03383215853</v>
      </c>
    </row>
    <row r="8" spans="1:9" ht="15.75" thickBot="1">
      <c r="A8" s="8" t="s">
        <v>110</v>
      </c>
      <c r="B8" s="8">
        <v>320</v>
      </c>
    </row>
    <row r="10" spans="1:9" ht="15.75" thickBot="1">
      <c r="A10" t="s">
        <v>111</v>
      </c>
    </row>
    <row r="11" spans="1:9">
      <c r="A11" s="9"/>
      <c r="B11" s="9" t="s">
        <v>116</v>
      </c>
      <c r="C11" s="9" t="s">
        <v>117</v>
      </c>
      <c r="D11" s="9" t="s">
        <v>118</v>
      </c>
      <c r="E11" s="9" t="s">
        <v>119</v>
      </c>
      <c r="F11" s="9" t="s">
        <v>120</v>
      </c>
    </row>
    <row r="12" spans="1:9">
      <c r="A12" s="7" t="s">
        <v>112</v>
      </c>
      <c r="B12" s="7">
        <v>1</v>
      </c>
      <c r="C12" s="7">
        <v>574513714277.01416</v>
      </c>
      <c r="D12" s="7">
        <v>574513714277.01416</v>
      </c>
      <c r="E12" s="7">
        <v>63.864872683367629</v>
      </c>
      <c r="F12" s="7">
        <v>2.4800615101359619E-14</v>
      </c>
    </row>
    <row r="13" spans="1:9">
      <c r="A13" s="7" t="s">
        <v>113</v>
      </c>
      <c r="B13" s="7">
        <v>318</v>
      </c>
      <c r="C13" s="7">
        <v>2860654902513.7251</v>
      </c>
      <c r="D13" s="7">
        <v>8995770133.6909599</v>
      </c>
      <c r="E13" s="7"/>
      <c r="F13" s="7"/>
    </row>
    <row r="14" spans="1:9" ht="15.75" thickBot="1">
      <c r="A14" s="8" t="s">
        <v>114</v>
      </c>
      <c r="B14" s="8">
        <v>319</v>
      </c>
      <c r="C14" s="8">
        <v>3435168616790.7393</v>
      </c>
      <c r="D14" s="8"/>
      <c r="E14" s="8"/>
      <c r="F14" s="8"/>
    </row>
    <row r="15" spans="1:9" ht="15.75" thickBot="1"/>
    <row r="16" spans="1:9">
      <c r="A16" s="9"/>
      <c r="B16" s="9" t="s">
        <v>121</v>
      </c>
      <c r="C16" s="9" t="s">
        <v>109</v>
      </c>
      <c r="D16" s="9" t="s">
        <v>122</v>
      </c>
      <c r="E16" s="9" t="s">
        <v>123</v>
      </c>
      <c r="F16" s="9" t="s">
        <v>124</v>
      </c>
      <c r="G16" s="9" t="s">
        <v>125</v>
      </c>
      <c r="H16" s="9" t="s">
        <v>126</v>
      </c>
      <c r="I16" s="9" t="s">
        <v>127</v>
      </c>
    </row>
    <row r="17" spans="1:9">
      <c r="A17" s="7" t="s">
        <v>115</v>
      </c>
      <c r="B17" s="7">
        <v>560777.34544943704</v>
      </c>
      <c r="C17" s="7">
        <v>15906.905953068674</v>
      </c>
      <c r="D17" s="7">
        <v>35.253703460870398</v>
      </c>
      <c r="E17" s="7">
        <v>6.952876876284135E-112</v>
      </c>
      <c r="F17" s="7">
        <v>529481.27234763221</v>
      </c>
      <c r="G17" s="7">
        <v>592073.41855124186</v>
      </c>
      <c r="H17" s="7">
        <v>529481.27234763221</v>
      </c>
      <c r="I17" s="7">
        <v>592073.41855124186</v>
      </c>
    </row>
    <row r="18" spans="1:9" ht="15.75" thickBot="1">
      <c r="A18" s="8" t="s">
        <v>4</v>
      </c>
      <c r="B18" s="8">
        <v>2.1295753275898281</v>
      </c>
      <c r="C18" s="8">
        <v>0.26647838106932348</v>
      </c>
      <c r="D18" s="8">
        <v>7.991550080138869</v>
      </c>
      <c r="E18" s="8">
        <v>2.4800615101360068E-14</v>
      </c>
      <c r="F18" s="8">
        <v>1.6052919176921738</v>
      </c>
      <c r="G18" s="8">
        <v>2.6538587374874822</v>
      </c>
      <c r="H18" s="8">
        <v>1.6052919176921738</v>
      </c>
      <c r="I18" s="8">
        <v>2.6538587374874822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79BEA-F64A-49F5-A93C-461448788F55}">
  <dimension ref="A1:I18"/>
  <sheetViews>
    <sheetView workbookViewId="0">
      <selection activeCell="L7" sqref="L7"/>
    </sheetView>
  </sheetViews>
  <sheetFormatPr defaultRowHeight="15"/>
  <sheetData>
    <row r="1" spans="1:9">
      <c r="A1" t="s">
        <v>104</v>
      </c>
    </row>
    <row r="2" spans="1:9" ht="15.75" thickBot="1"/>
    <row r="3" spans="1:9">
      <c r="A3" s="10" t="s">
        <v>105</v>
      </c>
      <c r="B3" s="10"/>
    </row>
    <row r="4" spans="1:9">
      <c r="A4" s="7" t="s">
        <v>106</v>
      </c>
      <c r="B4" s="7">
        <v>0.85807070804410468</v>
      </c>
    </row>
    <row r="5" spans="1:9">
      <c r="A5" s="7" t="s">
        <v>107</v>
      </c>
      <c r="B5" s="7">
        <v>0.73628534000331114</v>
      </c>
    </row>
    <row r="6" spans="1:9">
      <c r="A6" s="7" t="s">
        <v>108</v>
      </c>
      <c r="B6" s="7">
        <v>0.73545604861967373</v>
      </c>
    </row>
    <row r="7" spans="1:9">
      <c r="A7" s="7" t="s">
        <v>109</v>
      </c>
      <c r="B7" s="7">
        <v>53373.736380790499</v>
      </c>
    </row>
    <row r="8" spans="1:9" ht="15.75" thickBot="1">
      <c r="A8" s="8" t="s">
        <v>110</v>
      </c>
      <c r="B8" s="8">
        <v>320</v>
      </c>
    </row>
    <row r="10" spans="1:9" ht="15.75" thickBot="1">
      <c r="A10" t="s">
        <v>111</v>
      </c>
    </row>
    <row r="11" spans="1:9">
      <c r="A11" s="9"/>
      <c r="B11" s="9" t="s">
        <v>116</v>
      </c>
      <c r="C11" s="9" t="s">
        <v>117</v>
      </c>
      <c r="D11" s="9" t="s">
        <v>118</v>
      </c>
      <c r="E11" s="9" t="s">
        <v>119</v>
      </c>
      <c r="F11" s="9" t="s">
        <v>120</v>
      </c>
    </row>
    <row r="12" spans="1:9">
      <c r="A12" s="7" t="s">
        <v>112</v>
      </c>
      <c r="B12" s="7">
        <v>1</v>
      </c>
      <c r="C12" s="7">
        <v>2529264292982.4736</v>
      </c>
      <c r="D12" s="7">
        <v>2529264292982.4736</v>
      </c>
      <c r="E12" s="7">
        <v>887.84877611276033</v>
      </c>
      <c r="F12" s="7">
        <v>4.7503615090053331E-94</v>
      </c>
    </row>
    <row r="13" spans="1:9">
      <c r="A13" s="7" t="s">
        <v>113</v>
      </c>
      <c r="B13" s="7">
        <v>318</v>
      </c>
      <c r="C13" s="7">
        <v>905904323808.26587</v>
      </c>
      <c r="D13" s="7">
        <v>2848755735.246119</v>
      </c>
      <c r="E13" s="7"/>
      <c r="F13" s="7"/>
    </row>
    <row r="14" spans="1:9" ht="15.75" thickBot="1">
      <c r="A14" s="8" t="s">
        <v>114</v>
      </c>
      <c r="B14" s="8">
        <v>319</v>
      </c>
      <c r="C14" s="8">
        <v>3435168616790.7393</v>
      </c>
      <c r="D14" s="8"/>
      <c r="E14" s="8"/>
      <c r="F14" s="8"/>
    </row>
    <row r="15" spans="1:9" ht="15.75" thickBot="1"/>
    <row r="16" spans="1:9">
      <c r="A16" s="9"/>
      <c r="B16" s="9" t="s">
        <v>121</v>
      </c>
      <c r="C16" s="9" t="s">
        <v>109</v>
      </c>
      <c r="D16" s="9" t="s">
        <v>122</v>
      </c>
      <c r="E16" s="9" t="s">
        <v>123</v>
      </c>
      <c r="F16" s="9" t="s">
        <v>124</v>
      </c>
      <c r="G16" s="9" t="s">
        <v>125</v>
      </c>
      <c r="H16" s="9" t="s">
        <v>126</v>
      </c>
      <c r="I16" s="9" t="s">
        <v>127</v>
      </c>
    </row>
    <row r="17" spans="1:9">
      <c r="A17" s="7" t="s">
        <v>115</v>
      </c>
      <c r="B17" s="7">
        <v>446410.58293395344</v>
      </c>
      <c r="C17" s="7">
        <v>8407.7382630059928</v>
      </c>
      <c r="D17" s="7">
        <v>53.095204556754318</v>
      </c>
      <c r="E17" s="7">
        <v>4.0862695711507226E-160</v>
      </c>
      <c r="F17" s="7">
        <v>429868.76191129786</v>
      </c>
      <c r="G17" s="7">
        <v>462952.40395660902</v>
      </c>
      <c r="H17" s="7">
        <v>429868.76191129786</v>
      </c>
      <c r="I17" s="7">
        <v>462952.40395660902</v>
      </c>
    </row>
    <row r="18" spans="1:9" ht="15.75" thickBot="1">
      <c r="A18" s="8" t="s">
        <v>5</v>
      </c>
      <c r="B18" s="8">
        <v>35.678031072640458</v>
      </c>
      <c r="C18" s="8">
        <v>1.1973782890340821</v>
      </c>
      <c r="D18" s="8">
        <v>29.796791372776362</v>
      </c>
      <c r="E18" s="8">
        <v>4.7503615090054677E-94</v>
      </c>
      <c r="F18" s="8">
        <v>33.322246825554025</v>
      </c>
      <c r="G18" s="8">
        <v>38.033815319726891</v>
      </c>
      <c r="H18" s="8">
        <v>33.322246825554025</v>
      </c>
      <c r="I18" s="8">
        <v>38.033815319726891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FA27E-C652-4BB8-86CE-34B7313ECE99}">
  <dimension ref="A1:I19"/>
  <sheetViews>
    <sheetView topLeftCell="A2" workbookViewId="0">
      <selection activeCell="N16" sqref="N16"/>
    </sheetView>
  </sheetViews>
  <sheetFormatPr defaultRowHeight="15"/>
  <cols>
    <col min="1" max="1" width="18.7109375" customWidth="1"/>
    <col min="2" max="2" width="16.42578125" customWidth="1"/>
    <col min="3" max="3" width="19.140625" customWidth="1"/>
    <col min="4" max="4" width="17.28515625" customWidth="1"/>
    <col min="5" max="5" width="16.7109375" customWidth="1"/>
    <col min="6" max="6" width="15" customWidth="1"/>
    <col min="7" max="7" width="13.42578125" customWidth="1"/>
    <col min="8" max="8" width="12.85546875" customWidth="1"/>
    <col min="9" max="9" width="14.28515625" customWidth="1"/>
  </cols>
  <sheetData>
    <row r="1" spans="1:9">
      <c r="A1" t="s">
        <v>104</v>
      </c>
    </row>
    <row r="2" spans="1:9" ht="15.75" thickBot="1"/>
    <row r="3" spans="1:9">
      <c r="A3" s="10" t="s">
        <v>105</v>
      </c>
      <c r="B3" s="10"/>
    </row>
    <row r="4" spans="1:9">
      <c r="A4" s="7" t="s">
        <v>106</v>
      </c>
      <c r="B4" s="7">
        <v>0.88423766119531355</v>
      </c>
    </row>
    <row r="5" spans="1:9">
      <c r="A5" s="7" t="s">
        <v>107</v>
      </c>
      <c r="B5" s="7">
        <v>0.7818762414761582</v>
      </c>
    </row>
    <row r="6" spans="1:9">
      <c r="A6" s="7" t="s">
        <v>108</v>
      </c>
      <c r="B6" s="7">
        <v>0.78050006634351565</v>
      </c>
    </row>
    <row r="7" spans="1:9">
      <c r="A7" s="7" t="s">
        <v>109</v>
      </c>
      <c r="B7" s="7">
        <v>48617.865167351127</v>
      </c>
    </row>
    <row r="8" spans="1:9" ht="15.75" thickBot="1">
      <c r="A8" s="8" t="s">
        <v>110</v>
      </c>
      <c r="B8" s="8">
        <v>320</v>
      </c>
    </row>
    <row r="10" spans="1:9" ht="15.75" thickBot="1">
      <c r="A10" t="s">
        <v>111</v>
      </c>
    </row>
    <row r="11" spans="1:9">
      <c r="A11" s="9"/>
      <c r="B11" s="9" t="s">
        <v>116</v>
      </c>
      <c r="C11" s="9" t="s">
        <v>117</v>
      </c>
      <c r="D11" s="9" t="s">
        <v>118</v>
      </c>
      <c r="E11" s="9" t="s">
        <v>119</v>
      </c>
      <c r="F11" s="9" t="s">
        <v>120</v>
      </c>
    </row>
    <row r="12" spans="1:9">
      <c r="A12" s="7" t="s">
        <v>112</v>
      </c>
      <c r="B12" s="7">
        <v>2</v>
      </c>
      <c r="C12" s="7">
        <v>2685876726933.1963</v>
      </c>
      <c r="D12" s="7">
        <v>1342938363466.5981</v>
      </c>
      <c r="E12" s="7">
        <v>568.15170026710007</v>
      </c>
      <c r="F12" s="7">
        <v>1.5290480636484962E-105</v>
      </c>
    </row>
    <row r="13" spans="1:9">
      <c r="A13" s="7" t="s">
        <v>113</v>
      </c>
      <c r="B13" s="7">
        <v>317</v>
      </c>
      <c r="C13" s="7">
        <v>749291889857.54272</v>
      </c>
      <c r="D13" s="7">
        <v>2363696813.4307342</v>
      </c>
      <c r="E13" s="7"/>
      <c r="F13" s="7"/>
    </row>
    <row r="14" spans="1:9" ht="15.75" thickBot="1">
      <c r="A14" s="8" t="s">
        <v>114</v>
      </c>
      <c r="B14" s="8">
        <v>319</v>
      </c>
      <c r="C14" s="8">
        <v>3435168616790.7393</v>
      </c>
      <c r="D14" s="8"/>
      <c r="E14" s="8"/>
      <c r="F14" s="8"/>
    </row>
    <row r="15" spans="1:9" ht="15.75" thickBot="1"/>
    <row r="16" spans="1:9">
      <c r="A16" s="9"/>
      <c r="B16" s="9" t="s">
        <v>121</v>
      </c>
      <c r="C16" s="9" t="s">
        <v>109</v>
      </c>
      <c r="D16" s="9" t="s">
        <v>122</v>
      </c>
      <c r="E16" s="9" t="s">
        <v>123</v>
      </c>
      <c r="F16" s="9" t="s">
        <v>124</v>
      </c>
      <c r="G16" s="9" t="s">
        <v>125</v>
      </c>
      <c r="H16" s="9" t="s">
        <v>126</v>
      </c>
      <c r="I16" s="9" t="s">
        <v>127</v>
      </c>
    </row>
    <row r="17" spans="1:9">
      <c r="A17" s="7" t="s">
        <v>115</v>
      </c>
      <c r="B17" s="7">
        <v>396109.26472652634</v>
      </c>
      <c r="C17" s="7">
        <v>9840.8028553719378</v>
      </c>
      <c r="D17" s="7">
        <v>40.251722399895108</v>
      </c>
      <c r="E17" s="7">
        <v>1.2311326895867029E-126</v>
      </c>
      <c r="F17" s="7">
        <v>376747.72465313465</v>
      </c>
      <c r="G17" s="7">
        <v>415470.80479991803</v>
      </c>
      <c r="H17" s="7">
        <v>376747.72465313465</v>
      </c>
      <c r="I17" s="7">
        <v>415470.80479991803</v>
      </c>
    </row>
    <row r="18" spans="1:9">
      <c r="A18" s="7" t="s">
        <v>4</v>
      </c>
      <c r="B18" s="7">
        <v>1.1438279753328753</v>
      </c>
      <c r="C18" s="7">
        <v>0.14052172728385151</v>
      </c>
      <c r="D18" s="7">
        <v>8.1398656096958018</v>
      </c>
      <c r="E18" s="7">
        <v>9.1316157020077368E-15</v>
      </c>
      <c r="F18" s="7">
        <v>0.86735489747792016</v>
      </c>
      <c r="G18" s="7">
        <v>1.4203010531878304</v>
      </c>
      <c r="H18" s="7">
        <v>0.86735489747792016</v>
      </c>
      <c r="I18" s="7">
        <v>1.4203010531878304</v>
      </c>
    </row>
    <row r="19" spans="1:9" ht="15.75" thickBot="1">
      <c r="A19" s="8" t="s">
        <v>5</v>
      </c>
      <c r="B19" s="8">
        <v>33.534359490892506</v>
      </c>
      <c r="C19" s="8">
        <v>1.1220299406487213</v>
      </c>
      <c r="D19" s="8">
        <v>29.887223393971134</v>
      </c>
      <c r="E19" s="8">
        <v>3.1546343766516947E-94</v>
      </c>
      <c r="F19" s="8">
        <v>31.326792895088118</v>
      </c>
      <c r="G19" s="8">
        <v>35.741926086696893</v>
      </c>
      <c r="H19" s="8">
        <v>31.326792895088118</v>
      </c>
      <c r="I19" s="8">
        <v>35.741926086696893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Original_Data</vt:lpstr>
      <vt:lpstr>Cleaned_Data</vt:lpstr>
      <vt:lpstr>Dummy_Variables</vt:lpstr>
      <vt:lpstr>Simple_Regression_1</vt:lpstr>
      <vt:lpstr>Simple_Regression_2</vt:lpstr>
      <vt:lpstr>Multiple_Regression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Arundhati Singh</dc:creator>
  <cp:lastModifiedBy>Arundhati Singh</cp:lastModifiedBy>
  <dcterms:created xsi:type="dcterms:W3CDTF">2026-06-24T08:24:28Z</dcterms:created>
  <dcterms:modified xsi:type="dcterms:W3CDTF">2026-06-24T12:41:20Z</dcterms:modified>
</cp:coreProperties>
</file>